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inel" sheetId="1" state="visible" r:id="rId1"/>
    <sheet name="Metas" sheetId="2" state="visible" r:id="rId2"/>
    <sheet name="Lançamentos" sheetId="3" state="visible" r:id="rId3"/>
    <sheet name="Funil de Vendas" sheetId="4" state="visible" r:id="rId4"/>
  </sheets>
  <definedNames/>
  <calcPr calcId="124519" fullCalcOnLoad="1"/>
</workbook>
</file>

<file path=xl/styles.xml><?xml version="1.0" encoding="utf-8"?>
<styleSheet xmlns="http://schemas.openxmlformats.org/spreadsheetml/2006/main">
  <numFmts count="3">
    <numFmt numFmtId="164" formatCode="R$ #,##0"/>
    <numFmt numFmtId="165" formatCode="0.0%"/>
    <numFmt numFmtId="166" formatCode="0.0&quot;x&quot;"/>
  </numFmts>
  <fonts count="6">
    <font>
      <name val="Calibri"/>
      <family val="2"/>
      <color theme="1"/>
      <sz val="11"/>
      <scheme val="minor"/>
    </font>
    <font>
      <b val="1"/>
      <color rgb="0014110E"/>
      <sz val="15"/>
    </font>
    <font>
      <i val="1"/>
      <color rgb="006A6151"/>
      <sz val="9"/>
    </font>
    <font>
      <b val="1"/>
      <color rgb="00F4EEE2"/>
      <sz val="10"/>
    </font>
    <font>
      <b val="1"/>
      <sz val="10"/>
    </font>
    <font>
      <b val="1"/>
      <color rgb="009a6f17"/>
    </font>
  </fonts>
  <fills count="4">
    <fill>
      <patternFill/>
    </fill>
    <fill>
      <patternFill patternType="gray125"/>
    </fill>
    <fill>
      <patternFill patternType="solid">
        <fgColor rgb="0014110E"/>
      </patternFill>
    </fill>
    <fill>
      <patternFill patternType="solid">
        <fgColor rgb="00FAF6EC"/>
      </patternFill>
    </fill>
  </fills>
  <borders count="2">
    <border>
      <left/>
      <right/>
      <top/>
      <bottom/>
      <diagonal/>
    </border>
    <border>
      <left style="thin">
        <color rgb="00DDD3BE"/>
      </left>
      <right style="thin">
        <color rgb="00DDD3BE"/>
      </right>
      <top style="thin">
        <color rgb="00DDD3BE"/>
      </top>
      <bottom style="thin">
        <color rgb="00DDD3BE"/>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pivotButton="0" quotePrefix="0" xfId="0"/>
    <xf numFmtId="164" fontId="0" fillId="0" borderId="1" pivotButton="0" quotePrefix="0" xfId="0"/>
    <xf numFmtId="3" fontId="0" fillId="0" borderId="1" pivotButton="0" quotePrefix="0" xfId="0"/>
    <xf numFmtId="0" fontId="0" fillId="0" borderId="1" applyAlignment="1" pivotButton="0" quotePrefix="0" xfId="0">
      <alignment horizontal="center"/>
    </xf>
    <xf numFmtId="165" fontId="0" fillId="0" borderId="1" pivotButton="0" quotePrefix="0" xfId="0"/>
    <xf numFmtId="166" fontId="0" fillId="0" borderId="1" pivotButton="0" quotePrefix="0" xfId="0"/>
    <xf numFmtId="0" fontId="0" fillId="3" borderId="1" pivotButton="0" quotePrefix="0" xfId="0"/>
    <xf numFmtId="0" fontId="0" fillId="0" borderId="1" pivotButton="0" quotePrefix="0" xfId="0"/>
    <xf numFmtId="165" fontId="0" fillId="0" borderId="0" pivotButton="0" quotePrefix="0" xfId="0"/>
    <xf numFmtId="164" fontId="0" fillId="0" borderId="0" pivotButton="0" quotePrefix="0" xfId="0"/>
    <xf numFmtId="0" fontId="5" fillId="0" borderId="0" pivotButton="0" quotePrefix="0" xfId="0"/>
  </cellXfs>
  <cellStyles count="1">
    <cellStyle name="Normal" xfId="0" builtinId="0" hidden="0"/>
  </cellStyles>
  <dxfs count="5">
    <dxf>
      <fill>
        <patternFill patternType="solid">
          <fgColor rgb="00D6F0E4"/>
        </patternFill>
      </fill>
    </dxf>
    <dxf>
      <fill>
        <patternFill patternType="solid">
          <fgColor rgb="00FCEFCB"/>
        </patternFill>
      </fill>
    </dxf>
    <dxf>
      <fill>
        <patternFill patternType="solid">
          <fgColor rgb="00F6D9D6"/>
        </patternFill>
      </fill>
    </dxf>
    <dxf>
      <font>
        <b val="1"/>
        <color rgb="009A2A22"/>
      </font>
      <fill>
        <patternFill patternType="solid">
          <fgColor rgb="00F6D9D6"/>
        </patternFill>
      </fill>
    </dxf>
    <dxf>
      <fill>
        <patternFill patternType="solid">
          <fgColor rgb="00EDE7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0" customWidth="1" min="1" max="1"/>
    <col width="16" customWidth="1" min="2" max="2"/>
    <col width="14" customWidth="1" min="3" max="3"/>
    <col width="16" customWidth="1" min="4" max="4"/>
  </cols>
  <sheetData>
    <row r="1">
      <c r="A1" s="1" t="inlineStr">
        <is>
          <t>📈 PAINEL DE PERFORMANCE</t>
        </is>
      </c>
    </row>
    <row r="2">
      <c r="A2" s="2" t="inlineStr">
        <is>
          <t>Atualiza automaticamente conforme você preenche a aba Lançamentos.</t>
        </is>
      </c>
    </row>
    <row r="4">
      <c r="A4" s="3" t="inlineStr">
        <is>
          <t>Indicador</t>
        </is>
      </c>
      <c r="B4" s="3" t="inlineStr">
        <is>
          <t>Valor</t>
        </is>
      </c>
      <c r="C4" s="3" t="inlineStr">
        <is>
          <t>Meta</t>
        </is>
      </c>
      <c r="D4" s="3" t="inlineStr">
        <is>
          <t>Status</t>
        </is>
      </c>
    </row>
    <row r="5">
      <c r="A5" s="4" t="inlineStr">
        <is>
          <t>Investimento total</t>
        </is>
      </c>
      <c r="B5" s="5">
        <f>SUM(Lançamentos!E4:E55)</f>
        <v/>
      </c>
    </row>
    <row r="6">
      <c r="A6" s="4" t="inlineStr">
        <is>
          <t>Leads</t>
        </is>
      </c>
      <c r="B6" s="6">
        <f>SUM(Lançamentos!H4:H55)</f>
        <v/>
      </c>
    </row>
    <row r="7">
      <c r="A7" s="4" t="inlineStr">
        <is>
          <t>Conversas qualificadas</t>
        </is>
      </c>
      <c r="B7" s="6">
        <f>SUM(Lançamentos!I4:I55)</f>
        <v/>
      </c>
    </row>
    <row r="8">
      <c r="A8" s="4" t="inlineStr">
        <is>
          <t>Visitas agendadas</t>
        </is>
      </c>
      <c r="B8" s="6">
        <f>SUM(Lançamentos!J4:J55)</f>
        <v/>
      </c>
    </row>
    <row r="9">
      <c r="A9" s="4" t="inlineStr">
        <is>
          <t>Propostas</t>
        </is>
      </c>
      <c r="B9" s="6">
        <f>SUM(Lançamentos!K4:K55)</f>
        <v/>
      </c>
    </row>
    <row r="10">
      <c r="A10" s="4" t="inlineStr">
        <is>
          <t>Vendas</t>
        </is>
      </c>
      <c r="B10" s="6">
        <f>SUM(Lançamentos!L4:L55)</f>
        <v/>
      </c>
    </row>
    <row r="11">
      <c r="A11" s="4" t="inlineStr">
        <is>
          <t>CPL médio</t>
        </is>
      </c>
      <c r="B11" s="5">
        <f>IFERROR(SUM(Lançamentos!E4:E55)/SUM(Lançamentos!H4:H55),0)</f>
        <v/>
      </c>
      <c r="C11" s="5">
        <f>Metas!$B$5</f>
        <v/>
      </c>
      <c r="D11" s="7">
        <f>IF(B11=0,"—",IF(B11&lt;=C11,"✅ no alvo",IF(B11&lt;=C11*1.5,"⚠️ atenção","🔴 caro")))</f>
        <v/>
      </c>
    </row>
    <row r="12">
      <c r="A12" s="4" t="inlineStr">
        <is>
          <t>Custo por conversa</t>
        </is>
      </c>
      <c r="B12" s="5">
        <f>IFERROR(SUM(Lançamentos!E4:E55)/SUM(Lançamentos!I4:I55),0)</f>
        <v/>
      </c>
      <c r="C12" s="5">
        <f>Metas!$B$6</f>
        <v/>
      </c>
      <c r="D12" s="7">
        <f>IF(B12=0,"—",IF(B12&lt;=C12,"✅ no alvo",IF(B12&lt;=C12*1.5,"⚠️ atenção","🔴 caro")))</f>
        <v/>
      </c>
    </row>
    <row r="13">
      <c r="A13" s="4" t="inlineStr">
        <is>
          <t>Custo por visita</t>
        </is>
      </c>
      <c r="B13" s="5">
        <f>IFERROR(SUM(Lançamentos!E4:E55)/SUM(Lançamentos!J4:J55),0)</f>
        <v/>
      </c>
      <c r="C13" s="5">
        <f>Metas!$B$7</f>
        <v/>
      </c>
      <c r="D13" s="7">
        <f>IF(B13=0,"—",IF(B13&lt;=C13,"✅ no alvo",IF(B13&lt;=C13*1.5,"⚠️ atenção","🔴 caro")))</f>
        <v/>
      </c>
    </row>
    <row r="14">
      <c r="A14" s="4" t="inlineStr">
        <is>
          <t>Custo por venda (CAC)</t>
        </is>
      </c>
      <c r="B14" s="5">
        <f>IFERROR(SUM(Lançamentos!E4:E55)/SUM(Lançamentos!L4:L55),0)</f>
        <v/>
      </c>
    </row>
    <row r="15">
      <c r="A15" s="4" t="inlineStr">
        <is>
          <t>Taxa Lead → Visita</t>
        </is>
      </c>
      <c r="B15" s="8">
        <f>IFERROR(SUM(Lançamentos!J4:J55)/SUM(Lançamentos!H4:H55),0)</f>
        <v/>
      </c>
      <c r="C15" s="8">
        <f>Metas!$B$8</f>
        <v/>
      </c>
      <c r="D15" s="7">
        <f>IF(B15=0,"—",IF(B15&gt;=C15,"✅ no alvo",IF(B15&gt;=C15*0.7,"⚠️ atenção","🔴 baixo")))</f>
        <v/>
      </c>
    </row>
    <row r="16">
      <c r="A16" s="4" t="inlineStr">
        <is>
          <t>Taxa Visita → Proposta</t>
        </is>
      </c>
      <c r="B16" s="8">
        <f>IFERROR(SUM(Lançamentos!K4:K55)/SUM(Lançamentos!J4:J55),0)</f>
        <v/>
      </c>
      <c r="C16" s="8">
        <f>Metas!$B$9</f>
        <v/>
      </c>
      <c r="D16" s="7">
        <f>IF(B16=0,"—",IF(B16&gt;=C16,"✅ no alvo",IF(B16&gt;=C16*0.7,"⚠️ atenção","🔴 baixo")))</f>
        <v/>
      </c>
    </row>
    <row r="17">
      <c r="A17" s="4" t="inlineStr">
        <is>
          <t>Taxa Proposta → Venda</t>
        </is>
      </c>
      <c r="B17" s="8">
        <f>IFERROR(SUM(Lançamentos!L4:L55)/SUM(Lançamentos!K4:K55),0)</f>
        <v/>
      </c>
      <c r="C17" s="8">
        <f>Metas!$B$10</f>
        <v/>
      </c>
      <c r="D17" s="7">
        <f>IF(B17=0,"—",IF(B17&gt;=C17,"✅ no alvo",IF(B17&gt;=C17*0.7,"⚠️ atenção","🔴 baixo")))</f>
        <v/>
      </c>
    </row>
    <row r="18">
      <c r="A18" s="4" t="inlineStr">
        <is>
          <t>Receita (comissão)</t>
        </is>
      </c>
      <c r="B18" s="5">
        <f>SUM(Lançamentos!L4:L55)*Metas!$B$11</f>
        <v/>
      </c>
    </row>
    <row r="19">
      <c r="A19" s="4" t="inlineStr">
        <is>
          <t>ROAS (retorno/investido)</t>
        </is>
      </c>
      <c r="B19" s="9">
        <f>IFERROR((SUM(Lançamentos!L4:L55)*Metas!$B$11)/SUM(Lançamentos!E4:E55),0)</f>
        <v/>
      </c>
      <c r="C19" s="9">
        <f>Metas!$B$12</f>
        <v/>
      </c>
      <c r="D19" s="7">
        <f>IF(B19=0,"—",IF(B19&gt;=C19,"✅ no alvo",IF(B19&gt;=C19*0.7,"⚠️ atenção","🔴 baixo")))</f>
        <v/>
      </c>
    </row>
  </sheetData>
  <conditionalFormatting sqref="D5:D20">
    <cfRule type="expression" priority="1" dxfId="0">
      <formula>ISNUMBER(SEARCH("✅",D5))</formula>
    </cfRule>
    <cfRule type="expression" priority="2" dxfId="1">
      <formula>ISNUMBER(SEARCH("⚠️",D5))</formula>
    </cfRule>
    <cfRule type="expression" priority="3" dxfId="2">
      <formula>ISNUMBER(SEARCH("🔴",D5))</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8" customWidth="1" min="1" max="1"/>
    <col width="14" customWidth="1" min="2" max="2"/>
    <col width="10" customWidth="1" min="3" max="3"/>
  </cols>
  <sheetData>
    <row r="1">
      <c r="A1" s="1" t="inlineStr">
        <is>
          <t>🎯 METAS / KPIs DE REFERÊNCIA</t>
        </is>
      </c>
    </row>
    <row r="2">
      <c r="A2" s="2" t="inlineStr">
        <is>
          <t>Edite os alvos conforme sua praça e ticket. O Painel usa estes valores no semáforo.</t>
        </is>
      </c>
    </row>
    <row r="4">
      <c r="A4" s="3" t="inlineStr">
        <is>
          <t>Indicador</t>
        </is>
      </c>
      <c r="B4" s="3" t="inlineStr">
        <is>
          <t>Alvo</t>
        </is>
      </c>
      <c r="C4" s="3" t="inlineStr">
        <is>
          <t>Formato</t>
        </is>
      </c>
    </row>
    <row r="5">
      <c r="A5" s="10" t="inlineStr">
        <is>
          <t>CPL alvo (custo por lead)</t>
        </is>
      </c>
      <c r="B5" s="5" t="n">
        <v>12</v>
      </c>
      <c r="C5" s="11" t="inlineStr">
        <is>
          <t>R$</t>
        </is>
      </c>
    </row>
    <row r="6">
      <c r="A6" s="10" t="inlineStr">
        <is>
          <t>Custo por conversa qualificada</t>
        </is>
      </c>
      <c r="B6" s="5" t="n">
        <v>60</v>
      </c>
      <c r="C6" s="11" t="inlineStr">
        <is>
          <t>R$</t>
        </is>
      </c>
    </row>
    <row r="7">
      <c r="A7" s="10" t="inlineStr">
        <is>
          <t>Custo por visita agendada</t>
        </is>
      </c>
      <c r="B7" s="5" t="n">
        <v>300</v>
      </c>
      <c r="C7" s="11" t="inlineStr">
        <is>
          <t>R$</t>
        </is>
      </c>
    </row>
    <row r="8">
      <c r="A8" s="10" t="inlineStr">
        <is>
          <t>Taxa Lead → Visita</t>
        </is>
      </c>
      <c r="B8" s="8" t="n">
        <v>0.2</v>
      </c>
      <c r="C8" s="11" t="inlineStr">
        <is>
          <t>%</t>
        </is>
      </c>
    </row>
    <row r="9">
      <c r="A9" s="10" t="inlineStr">
        <is>
          <t>Taxa Visita → Proposta</t>
        </is>
      </c>
      <c r="B9" s="8" t="n">
        <v>0.4</v>
      </c>
      <c r="C9" s="11" t="inlineStr">
        <is>
          <t>%</t>
        </is>
      </c>
    </row>
    <row r="10">
      <c r="A10" s="10" t="inlineStr">
        <is>
          <t>Taxa Proposta → Venda</t>
        </is>
      </c>
      <c r="B10" s="8" t="n">
        <v>0.45</v>
      </c>
      <c r="C10" s="11" t="inlineStr">
        <is>
          <t>%</t>
        </is>
      </c>
    </row>
    <row r="11">
      <c r="A11" s="10" t="inlineStr">
        <is>
          <t>Comissão média por venda</t>
        </is>
      </c>
      <c r="B11" s="5" t="n">
        <v>12000</v>
      </c>
      <c r="C11" s="11" t="inlineStr">
        <is>
          <t>R$</t>
        </is>
      </c>
    </row>
    <row r="12">
      <c r="A12" s="10" t="inlineStr">
        <is>
          <t>ROAS alvo (retorno s/ investimento)</t>
        </is>
      </c>
      <c r="B12" s="11" t="n">
        <v>5</v>
      </c>
      <c r="C12" s="11" t="inlineStr">
        <is>
          <t>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5"/>
  <sheetViews>
    <sheetView workbookViewId="0">
      <pane ySplit="3" topLeftCell="A4" activePane="bottomLeft" state="frozen"/>
      <selection pane="bottomLeft" activeCell="A1" sqref="A1"/>
    </sheetView>
  </sheetViews>
  <sheetFormatPr baseColWidth="8" defaultRowHeight="15"/>
  <cols>
    <col width="12" customWidth="1" min="1" max="1"/>
    <col width="11" customWidth="1" min="2" max="2"/>
    <col width="30" customWidth="1" min="3" max="3"/>
    <col width="13" customWidth="1" min="4" max="4"/>
    <col width="12" customWidth="1" min="5" max="5"/>
    <col width="12" customWidth="1" min="6" max="6"/>
    <col width="10" customWidth="1" min="7" max="7"/>
    <col width="9" customWidth="1" min="8" max="8"/>
    <col width="13" customWidth="1" min="9" max="9"/>
    <col width="13" customWidth="1" min="10" max="10"/>
    <col width="11" customWidth="1" min="11" max="11"/>
    <col width="9" customWidth="1" min="12" max="12"/>
    <col width="9" customWidth="1" min="13" max="13"/>
    <col width="12" customWidth="1" min="14" max="14"/>
    <col width="14" customWidth="1" min="15" max="15"/>
  </cols>
  <sheetData>
    <row r="1">
      <c r="A1" s="1" t="inlineStr">
        <is>
          <t>📊 LANÇAMENTOS DE CAMPANHA (registre dia a dia)</t>
        </is>
      </c>
    </row>
    <row r="3">
      <c r="A3" s="3" t="inlineStr">
        <is>
          <t>Data</t>
        </is>
      </c>
      <c r="B3" s="3" t="inlineStr">
        <is>
          <t>Plataforma</t>
        </is>
      </c>
      <c r="C3" s="3" t="inlineStr">
        <is>
          <t>Campanha</t>
        </is>
      </c>
      <c r="D3" s="3" t="inlineStr">
        <is>
          <t>Etapa</t>
        </is>
      </c>
      <c r="E3" s="3" t="inlineStr">
        <is>
          <t>Investido</t>
        </is>
      </c>
      <c r="F3" s="3" t="inlineStr">
        <is>
          <t>Impressões</t>
        </is>
      </c>
      <c r="G3" s="3" t="inlineStr">
        <is>
          <t>Cliques</t>
        </is>
      </c>
      <c r="H3" s="3" t="inlineStr">
        <is>
          <t>Leads</t>
        </is>
      </c>
      <c r="I3" s="3" t="inlineStr">
        <is>
          <t>Conversas qualif.</t>
        </is>
      </c>
      <c r="J3" s="3" t="inlineStr">
        <is>
          <t>Visitas agend.</t>
        </is>
      </c>
      <c r="K3" s="3" t="inlineStr">
        <is>
          <t>Propostas</t>
        </is>
      </c>
      <c r="L3" s="3" t="inlineStr">
        <is>
          <t>Vendas</t>
        </is>
      </c>
      <c r="M3" s="3" t="inlineStr">
        <is>
          <t>CTR</t>
        </is>
      </c>
      <c r="N3" s="3" t="inlineStr">
        <is>
          <t>CPL</t>
        </is>
      </c>
      <c r="O3" s="3" t="inlineStr">
        <is>
          <t>Custo/Conversa</t>
        </is>
      </c>
    </row>
    <row r="4">
      <c r="A4" s="11" t="inlineStr">
        <is>
          <t>2026-06-01</t>
        </is>
      </c>
      <c r="B4" s="11" t="inlineStr">
        <is>
          <t>Meta</t>
        </is>
      </c>
      <c r="C4" s="11" t="inlineStr">
        <is>
          <t>AQV|Meta|Msg|TOFU|Maceió</t>
        </is>
      </c>
      <c r="D4" s="11" t="inlineStr">
        <is>
          <t>TOFU</t>
        </is>
      </c>
      <c r="E4" s="5" t="n">
        <v>60</v>
      </c>
      <c r="F4" s="11" t="n">
        <v>18000</v>
      </c>
      <c r="G4" s="11" t="n">
        <v>420</v>
      </c>
      <c r="H4" s="11" t="n">
        <v>38</v>
      </c>
      <c r="I4" s="11" t="n">
        <v>9</v>
      </c>
      <c r="J4" s="11" t="n">
        <v>3</v>
      </c>
      <c r="K4" s="11" t="n">
        <v>1</v>
      </c>
      <c r="L4" s="11" t="n">
        <v>0</v>
      </c>
      <c r="M4" s="8">
        <f>IFERROR(G4/F4,0)</f>
        <v/>
      </c>
      <c r="N4" s="5">
        <f>IFERROR(E4/H4,0)</f>
        <v/>
      </c>
      <c r="O4" s="5">
        <f>IFERROR(E4/I4,0)</f>
        <v/>
      </c>
    </row>
    <row r="5">
      <c r="A5" s="11" t="inlineStr">
        <is>
          <t>2026-06-01</t>
        </is>
      </c>
      <c r="B5" s="11" t="inlineStr">
        <is>
          <t>Meta</t>
        </is>
      </c>
      <c r="C5" s="11" t="inlineStr">
        <is>
          <t>AQV|Meta|Leads|TOFU|MCMV</t>
        </is>
      </c>
      <c r="D5" s="11" t="inlineStr">
        <is>
          <t>TOFU</t>
        </is>
      </c>
      <c r="E5" s="5" t="n">
        <v>40</v>
      </c>
      <c r="F5" s="11" t="n">
        <v>15000</v>
      </c>
      <c r="G5" s="11" t="n">
        <v>300</v>
      </c>
      <c r="H5" s="11" t="n">
        <v>52</v>
      </c>
      <c r="I5" s="11" t="n">
        <v>7</v>
      </c>
      <c r="J5" s="11" t="n">
        <v>2</v>
      </c>
      <c r="K5" s="11" t="n">
        <v>1</v>
      </c>
      <c r="L5" s="11" t="n">
        <v>0</v>
      </c>
      <c r="M5" s="8">
        <f>IFERROR(G5/F5,0)</f>
        <v/>
      </c>
      <c r="N5" s="5">
        <f>IFERROR(E5/H5,0)</f>
        <v/>
      </c>
      <c r="O5" s="5">
        <f>IFERROR(E5/I5,0)</f>
        <v/>
      </c>
    </row>
    <row r="6">
      <c r="A6" s="11" t="inlineStr">
        <is>
          <t>2026-06-01</t>
        </is>
      </c>
      <c r="B6" s="11" t="inlineStr">
        <is>
          <t>Google</t>
        </is>
      </c>
      <c r="C6" s="11" t="inlineStr">
        <is>
          <t>AQV|Google|Search|BOFU</t>
        </is>
      </c>
      <c r="D6" s="11" t="inlineStr">
        <is>
          <t>BOFU</t>
        </is>
      </c>
      <c r="E6" s="5" t="n">
        <v>50</v>
      </c>
      <c r="F6" s="11" t="n">
        <v>2200</v>
      </c>
      <c r="G6" s="11" t="n">
        <v>140</v>
      </c>
      <c r="H6" s="11" t="n">
        <v>12</v>
      </c>
      <c r="I6" s="11" t="n">
        <v>6</v>
      </c>
      <c r="J6" s="11" t="n">
        <v>3</v>
      </c>
      <c r="K6" s="11" t="n">
        <v>2</v>
      </c>
      <c r="L6" s="11" t="n">
        <v>1</v>
      </c>
      <c r="M6" s="8">
        <f>IFERROR(G6/F6,0)</f>
        <v/>
      </c>
      <c r="N6" s="5">
        <f>IFERROR(E6/H6,0)</f>
        <v/>
      </c>
      <c r="O6" s="5">
        <f>IFERROR(E6/I6,0)</f>
        <v/>
      </c>
    </row>
    <row r="7">
      <c r="A7" s="11" t="inlineStr">
        <is>
          <t>2026-06-02</t>
        </is>
      </c>
      <c r="B7" s="11" t="inlineStr">
        <is>
          <t>Meta</t>
        </is>
      </c>
      <c r="C7" s="11" t="inlineStr">
        <is>
          <t>AQV|Meta|Msg|TOFU|Maceió</t>
        </is>
      </c>
      <c r="D7" s="11" t="inlineStr">
        <is>
          <t>TOFU</t>
        </is>
      </c>
      <c r="E7" s="5" t="n">
        <v>60</v>
      </c>
      <c r="F7" s="11" t="n">
        <v>19500</v>
      </c>
      <c r="G7" s="11" t="n">
        <v>455</v>
      </c>
      <c r="H7" s="11" t="n">
        <v>41</v>
      </c>
      <c r="I7" s="11" t="n">
        <v>11</v>
      </c>
      <c r="J7" s="11" t="n">
        <v>4</v>
      </c>
      <c r="K7" s="11" t="n">
        <v>1</v>
      </c>
      <c r="L7" s="11" t="n">
        <v>1</v>
      </c>
      <c r="M7" s="8">
        <f>IFERROR(G7/F7,0)</f>
        <v/>
      </c>
      <c r="N7" s="5">
        <f>IFERROR(E7/H7,0)</f>
        <v/>
      </c>
      <c r="O7" s="5">
        <f>IFERROR(E7/I7,0)</f>
        <v/>
      </c>
    </row>
    <row r="8">
      <c r="A8" s="11" t="inlineStr">
        <is>
          <t>2026-06-02</t>
        </is>
      </c>
      <c r="B8" s="11" t="inlineStr">
        <is>
          <t>Meta</t>
        </is>
      </c>
      <c r="C8" s="11" t="inlineStr">
        <is>
          <t>AQV|Meta|Msg|RMKT|Prova</t>
        </is>
      </c>
      <c r="D8" s="11" t="inlineStr">
        <is>
          <t>Retargeting</t>
        </is>
      </c>
      <c r="E8" s="5" t="n">
        <v>25</v>
      </c>
      <c r="F8" s="11" t="n">
        <v>8000</v>
      </c>
      <c r="G8" s="11" t="n">
        <v>260</v>
      </c>
      <c r="H8" s="11" t="n">
        <v>18</v>
      </c>
      <c r="I8" s="11" t="n">
        <v>9</v>
      </c>
      <c r="J8" s="11" t="n">
        <v>4</v>
      </c>
      <c r="K8" s="11" t="n">
        <v>2</v>
      </c>
      <c r="L8" s="11" t="n">
        <v>1</v>
      </c>
      <c r="M8" s="8">
        <f>IFERROR(G8/F8,0)</f>
        <v/>
      </c>
      <c r="N8" s="5">
        <f>IFERROR(E8/H8,0)</f>
        <v/>
      </c>
      <c r="O8" s="5">
        <f>IFERROR(E8/I8,0)</f>
        <v/>
      </c>
    </row>
    <row r="9">
      <c r="A9" s="11" t="inlineStr">
        <is>
          <t>2026-06-02</t>
        </is>
      </c>
      <c r="B9" s="11" t="inlineStr">
        <is>
          <t>Google</t>
        </is>
      </c>
      <c r="C9" s="11" t="inlineStr">
        <is>
          <t>AQV|Google|Search|BOFU</t>
        </is>
      </c>
      <c r="D9" s="11" t="inlineStr">
        <is>
          <t>BOFU</t>
        </is>
      </c>
      <c r="E9" s="5" t="n">
        <v>50</v>
      </c>
      <c r="F9" s="11" t="n">
        <v>2400</v>
      </c>
      <c r="G9" s="11" t="n">
        <v>150</v>
      </c>
      <c r="H9" s="11" t="n">
        <v>14</v>
      </c>
      <c r="I9" s="11" t="n">
        <v>7</v>
      </c>
      <c r="J9" s="11" t="n">
        <v>4</v>
      </c>
      <c r="K9" s="11" t="n">
        <v>2</v>
      </c>
      <c r="L9" s="11" t="n">
        <v>1</v>
      </c>
      <c r="M9" s="8">
        <f>IFERROR(G9/F9,0)</f>
        <v/>
      </c>
      <c r="N9" s="5">
        <f>IFERROR(E9/H9,0)</f>
        <v/>
      </c>
      <c r="O9" s="5">
        <f>IFERROR(E9/I9,0)</f>
        <v/>
      </c>
    </row>
    <row r="10">
      <c r="A10" s="11" t="inlineStr">
        <is>
          <t>2026-06-03</t>
        </is>
      </c>
      <c r="B10" s="11" t="inlineStr">
        <is>
          <t>Meta</t>
        </is>
      </c>
      <c r="C10" s="11" t="inlineStr">
        <is>
          <t>AQV|Meta|Msg|TOFU|Investidor</t>
        </is>
      </c>
      <c r="D10" s="11" t="inlineStr">
        <is>
          <t>TOFU</t>
        </is>
      </c>
      <c r="E10" s="5" t="n">
        <v>40</v>
      </c>
      <c r="F10" s="11" t="n">
        <v>12000</v>
      </c>
      <c r="G10" s="11" t="n">
        <v>300</v>
      </c>
      <c r="H10" s="11" t="n">
        <v>22</v>
      </c>
      <c r="I10" s="11" t="n">
        <v>8</v>
      </c>
      <c r="J10" s="11" t="n">
        <v>2</v>
      </c>
      <c r="K10" s="11" t="n">
        <v>1</v>
      </c>
      <c r="L10" s="11" t="n">
        <v>0</v>
      </c>
      <c r="M10" s="8">
        <f>IFERROR(G10/F10,0)</f>
        <v/>
      </c>
      <c r="N10" s="5">
        <f>IFERROR(E10/H10,0)</f>
        <v/>
      </c>
      <c r="O10" s="5">
        <f>IFERROR(E10/I10,0)</f>
        <v/>
      </c>
    </row>
    <row r="11">
      <c r="A11" s="11" t="inlineStr">
        <is>
          <t>2026-06-03</t>
        </is>
      </c>
      <c r="B11" s="11" t="inlineStr">
        <is>
          <t>TikTok</t>
        </is>
      </c>
      <c r="C11" s="11" t="inlineStr">
        <is>
          <t>AQV|TikTok|Leads|TOFU|MCMV</t>
        </is>
      </c>
      <c r="D11" s="11" t="inlineStr">
        <is>
          <t>TOFU</t>
        </is>
      </c>
      <c r="E11" s="5" t="n">
        <v>40</v>
      </c>
      <c r="F11" s="11" t="n">
        <v>40000</v>
      </c>
      <c r="G11" s="11" t="n">
        <v>900</v>
      </c>
      <c r="H11" s="11" t="n">
        <v>80</v>
      </c>
      <c r="I11" s="11" t="n">
        <v>6</v>
      </c>
      <c r="J11" s="11" t="n">
        <v>1</v>
      </c>
      <c r="K11" s="11" t="n">
        <v>0</v>
      </c>
      <c r="L11" s="11" t="n">
        <v>0</v>
      </c>
      <c r="M11" s="8">
        <f>IFERROR(G11/F11,0)</f>
        <v/>
      </c>
      <c r="N11" s="5">
        <f>IFERROR(E11/H11,0)</f>
        <v/>
      </c>
      <c r="O11" s="5">
        <f>IFERROR(E11/I11,0)</f>
        <v/>
      </c>
    </row>
    <row r="12">
      <c r="A12" s="11" t="inlineStr">
        <is>
          <t>2026-06-03</t>
        </is>
      </c>
      <c r="B12" s="11" t="inlineStr">
        <is>
          <t>Meta</t>
        </is>
      </c>
      <c r="C12" s="11" t="inlineStr">
        <is>
          <t>AQV|Meta|Msg|BOFU|Fechamento</t>
        </is>
      </c>
      <c r="D12" s="11" t="inlineStr">
        <is>
          <t>BOFU</t>
        </is>
      </c>
      <c r="E12" s="5" t="n">
        <v>20</v>
      </c>
      <c r="F12" s="11" t="n">
        <v>3000</v>
      </c>
      <c r="G12" s="11" t="n">
        <v>120</v>
      </c>
      <c r="H12" s="11" t="n">
        <v>10</v>
      </c>
      <c r="I12" s="11" t="n">
        <v>7</v>
      </c>
      <c r="J12" s="11" t="n">
        <v>5</v>
      </c>
      <c r="K12" s="11" t="n">
        <v>3</v>
      </c>
      <c r="L12" s="11" t="n">
        <v>2</v>
      </c>
      <c r="M12" s="8">
        <f>IFERROR(G12/F12,0)</f>
        <v/>
      </c>
      <c r="N12" s="5">
        <f>IFERROR(E12/H12,0)</f>
        <v/>
      </c>
      <c r="O12" s="5">
        <f>IFERROR(E12/I12,0)</f>
        <v/>
      </c>
    </row>
    <row r="13">
      <c r="A13" s="11" t="inlineStr">
        <is>
          <t>2026-06-04</t>
        </is>
      </c>
      <c r="B13" s="11" t="inlineStr">
        <is>
          <t>Meta</t>
        </is>
      </c>
      <c r="C13" s="11" t="inlineStr">
        <is>
          <t>AQV|Meta|Msg|TOFU|Maceió</t>
        </is>
      </c>
      <c r="D13" s="11" t="inlineStr">
        <is>
          <t>TOFU</t>
        </is>
      </c>
      <c r="E13" s="5" t="n">
        <v>70</v>
      </c>
      <c r="F13" s="11" t="n">
        <v>21000</v>
      </c>
      <c r="G13" s="11" t="n">
        <v>500</v>
      </c>
      <c r="H13" s="11" t="n">
        <v>45</v>
      </c>
      <c r="I13" s="11" t="n">
        <v>12</v>
      </c>
      <c r="J13" s="11" t="n">
        <v>5</v>
      </c>
      <c r="K13" s="11" t="n">
        <v>2</v>
      </c>
      <c r="L13" s="11" t="n">
        <v>1</v>
      </c>
      <c r="M13" s="8">
        <f>IFERROR(G13/F13,0)</f>
        <v/>
      </c>
      <c r="N13" s="5">
        <f>IFERROR(E13/H13,0)</f>
        <v/>
      </c>
      <c r="O13" s="5">
        <f>IFERROR(E13/I13,0)</f>
        <v/>
      </c>
    </row>
    <row r="14">
      <c r="A14" s="11" t="inlineStr">
        <is>
          <t>2026-06-04</t>
        </is>
      </c>
      <c r="B14" s="11" t="inlineStr">
        <is>
          <t>Google</t>
        </is>
      </c>
      <c r="C14" s="11" t="inlineStr">
        <is>
          <t>AQV|Google|PMax|Escala</t>
        </is>
      </c>
      <c r="D14" s="11" t="inlineStr">
        <is>
          <t>Escala</t>
        </is>
      </c>
      <c r="E14" s="5" t="n">
        <v>50</v>
      </c>
      <c r="F14" s="11" t="n">
        <v>9000</v>
      </c>
      <c r="G14" s="11" t="n">
        <v>210</v>
      </c>
      <c r="H14" s="11" t="n">
        <v>20</v>
      </c>
      <c r="I14" s="11" t="n">
        <v>8</v>
      </c>
      <c r="J14" s="11" t="n">
        <v>3</v>
      </c>
      <c r="K14" s="11" t="n">
        <v>1</v>
      </c>
      <c r="L14" s="11" t="n">
        <v>1</v>
      </c>
      <c r="M14" s="8">
        <f>IFERROR(G14/F14,0)</f>
        <v/>
      </c>
      <c r="N14" s="5">
        <f>IFERROR(E14/H14,0)</f>
        <v/>
      </c>
      <c r="O14" s="5">
        <f>IFERROR(E14/I14,0)</f>
        <v/>
      </c>
    </row>
    <row r="15">
      <c r="A15" s="11" t="inlineStr">
        <is>
          <t>2026-06-04</t>
        </is>
      </c>
      <c r="B15" s="11" t="inlineStr">
        <is>
          <t>YouTube</t>
        </is>
      </c>
      <c r="C15" s="11" t="inlineStr">
        <is>
          <t>AQV|Google|DemandGen|RMKT</t>
        </is>
      </c>
      <c r="D15" s="11" t="inlineStr">
        <is>
          <t>Retargeting</t>
        </is>
      </c>
      <c r="E15" s="5" t="n">
        <v>30</v>
      </c>
      <c r="F15" s="11" t="n">
        <v>30000</v>
      </c>
      <c r="G15" s="11" t="n">
        <v>180</v>
      </c>
      <c r="H15" s="11" t="n">
        <v>9</v>
      </c>
      <c r="I15" s="11" t="n">
        <v>4</v>
      </c>
      <c r="J15" s="11" t="n">
        <v>2</v>
      </c>
      <c r="K15" s="11" t="n">
        <v>1</v>
      </c>
      <c r="L15" s="11" t="n">
        <v>0</v>
      </c>
      <c r="M15" s="8">
        <f>IFERROR(G15/F15,0)</f>
        <v/>
      </c>
      <c r="N15" s="5">
        <f>IFERROR(E15/H15,0)</f>
        <v/>
      </c>
      <c r="O15" s="5">
        <f>IFERROR(E15/I15,0)</f>
        <v/>
      </c>
    </row>
    <row r="16">
      <c r="A16" s="11" t="n"/>
      <c r="B16" s="11" t="n"/>
      <c r="C16" s="11" t="n"/>
      <c r="D16" s="11" t="n"/>
      <c r="E16" s="5" t="n"/>
      <c r="F16" s="11" t="n"/>
      <c r="G16" s="11" t="n"/>
      <c r="H16" s="11" t="n"/>
      <c r="I16" s="11" t="n"/>
      <c r="J16" s="11" t="n"/>
      <c r="K16" s="11" t="n"/>
      <c r="L16" s="11" t="n"/>
      <c r="M16" s="12">
        <f>IFERROR(G16/F16,0)</f>
        <v/>
      </c>
      <c r="N16" s="13">
        <f>IFERROR(E16/H16,0)</f>
        <v/>
      </c>
      <c r="O16" s="13">
        <f>IFERROR(E16/I16,0)</f>
        <v/>
      </c>
    </row>
    <row r="17">
      <c r="A17" s="11" t="n"/>
      <c r="B17" s="11" t="n"/>
      <c r="C17" s="11" t="n"/>
      <c r="D17" s="11" t="n"/>
      <c r="E17" s="5" t="n"/>
      <c r="F17" s="11" t="n"/>
      <c r="G17" s="11" t="n"/>
      <c r="H17" s="11" t="n"/>
      <c r="I17" s="11" t="n"/>
      <c r="J17" s="11" t="n"/>
      <c r="K17" s="11" t="n"/>
      <c r="L17" s="11" t="n"/>
      <c r="M17" s="12">
        <f>IFERROR(G17/F17,0)</f>
        <v/>
      </c>
      <c r="N17" s="13">
        <f>IFERROR(E17/H17,0)</f>
        <v/>
      </c>
      <c r="O17" s="13">
        <f>IFERROR(E17/I17,0)</f>
        <v/>
      </c>
    </row>
    <row r="18">
      <c r="A18" s="11" t="n"/>
      <c r="B18" s="11" t="n"/>
      <c r="C18" s="11" t="n"/>
      <c r="D18" s="11" t="n"/>
      <c r="E18" s="5" t="n"/>
      <c r="F18" s="11" t="n"/>
      <c r="G18" s="11" t="n"/>
      <c r="H18" s="11" t="n"/>
      <c r="I18" s="11" t="n"/>
      <c r="J18" s="11" t="n"/>
      <c r="K18" s="11" t="n"/>
      <c r="L18" s="11" t="n"/>
      <c r="M18" s="12">
        <f>IFERROR(G18/F18,0)</f>
        <v/>
      </c>
      <c r="N18" s="13">
        <f>IFERROR(E18/H18,0)</f>
        <v/>
      </c>
      <c r="O18" s="13">
        <f>IFERROR(E18/I18,0)</f>
        <v/>
      </c>
    </row>
    <row r="19">
      <c r="A19" s="11" t="n"/>
      <c r="B19" s="11" t="n"/>
      <c r="C19" s="11" t="n"/>
      <c r="D19" s="11" t="n"/>
      <c r="E19" s="5" t="n"/>
      <c r="F19" s="11" t="n"/>
      <c r="G19" s="11" t="n"/>
      <c r="H19" s="11" t="n"/>
      <c r="I19" s="11" t="n"/>
      <c r="J19" s="11" t="n"/>
      <c r="K19" s="11" t="n"/>
      <c r="L19" s="11" t="n"/>
      <c r="M19" s="12">
        <f>IFERROR(G19/F19,0)</f>
        <v/>
      </c>
      <c r="N19" s="13">
        <f>IFERROR(E19/H19,0)</f>
        <v/>
      </c>
      <c r="O19" s="13">
        <f>IFERROR(E19/I19,0)</f>
        <v/>
      </c>
    </row>
    <row r="20">
      <c r="A20" s="11" t="n"/>
      <c r="B20" s="11" t="n"/>
      <c r="C20" s="11" t="n"/>
      <c r="D20" s="11" t="n"/>
      <c r="E20" s="5" t="n"/>
      <c r="F20" s="11" t="n"/>
      <c r="G20" s="11" t="n"/>
      <c r="H20" s="11" t="n"/>
      <c r="I20" s="11" t="n"/>
      <c r="J20" s="11" t="n"/>
      <c r="K20" s="11" t="n"/>
      <c r="L20" s="11" t="n"/>
      <c r="M20" s="12">
        <f>IFERROR(G20/F20,0)</f>
        <v/>
      </c>
      <c r="N20" s="13">
        <f>IFERROR(E20/H20,0)</f>
        <v/>
      </c>
      <c r="O20" s="13">
        <f>IFERROR(E20/I20,0)</f>
        <v/>
      </c>
    </row>
    <row r="21">
      <c r="A21" s="11" t="n"/>
      <c r="B21" s="11" t="n"/>
      <c r="C21" s="11" t="n"/>
      <c r="D21" s="11" t="n"/>
      <c r="E21" s="5" t="n"/>
      <c r="F21" s="11" t="n"/>
      <c r="G21" s="11" t="n"/>
      <c r="H21" s="11" t="n"/>
      <c r="I21" s="11" t="n"/>
      <c r="J21" s="11" t="n"/>
      <c r="K21" s="11" t="n"/>
      <c r="L21" s="11" t="n"/>
      <c r="M21" s="12">
        <f>IFERROR(G21/F21,0)</f>
        <v/>
      </c>
      <c r="N21" s="13">
        <f>IFERROR(E21/H21,0)</f>
        <v/>
      </c>
      <c r="O21" s="13">
        <f>IFERROR(E21/I21,0)</f>
        <v/>
      </c>
    </row>
    <row r="22">
      <c r="A22" s="11" t="n"/>
      <c r="B22" s="11" t="n"/>
      <c r="C22" s="11" t="n"/>
      <c r="D22" s="11" t="n"/>
      <c r="E22" s="5" t="n"/>
      <c r="F22" s="11" t="n"/>
      <c r="G22" s="11" t="n"/>
      <c r="H22" s="11" t="n"/>
      <c r="I22" s="11" t="n"/>
      <c r="J22" s="11" t="n"/>
      <c r="K22" s="11" t="n"/>
      <c r="L22" s="11" t="n"/>
      <c r="M22" s="12">
        <f>IFERROR(G22/F22,0)</f>
        <v/>
      </c>
      <c r="N22" s="13">
        <f>IFERROR(E22/H22,0)</f>
        <v/>
      </c>
      <c r="O22" s="13">
        <f>IFERROR(E22/I22,0)</f>
        <v/>
      </c>
    </row>
    <row r="23">
      <c r="A23" s="11" t="n"/>
      <c r="B23" s="11" t="n"/>
      <c r="C23" s="11" t="n"/>
      <c r="D23" s="11" t="n"/>
      <c r="E23" s="5" t="n"/>
      <c r="F23" s="11" t="n"/>
      <c r="G23" s="11" t="n"/>
      <c r="H23" s="11" t="n"/>
      <c r="I23" s="11" t="n"/>
      <c r="J23" s="11" t="n"/>
      <c r="K23" s="11" t="n"/>
      <c r="L23" s="11" t="n"/>
      <c r="M23" s="12">
        <f>IFERROR(G23/F23,0)</f>
        <v/>
      </c>
      <c r="N23" s="13">
        <f>IFERROR(E23/H23,0)</f>
        <v/>
      </c>
      <c r="O23" s="13">
        <f>IFERROR(E23/I23,0)</f>
        <v/>
      </c>
    </row>
    <row r="24">
      <c r="A24" s="11" t="n"/>
      <c r="B24" s="11" t="n"/>
      <c r="C24" s="11" t="n"/>
      <c r="D24" s="11" t="n"/>
      <c r="E24" s="5" t="n"/>
      <c r="F24" s="11" t="n"/>
      <c r="G24" s="11" t="n"/>
      <c r="H24" s="11" t="n"/>
      <c r="I24" s="11" t="n"/>
      <c r="J24" s="11" t="n"/>
      <c r="K24" s="11" t="n"/>
      <c r="L24" s="11" t="n"/>
      <c r="M24" s="12">
        <f>IFERROR(G24/F24,0)</f>
        <v/>
      </c>
      <c r="N24" s="13">
        <f>IFERROR(E24/H24,0)</f>
        <v/>
      </c>
      <c r="O24" s="13">
        <f>IFERROR(E24/I24,0)</f>
        <v/>
      </c>
    </row>
    <row r="25">
      <c r="A25" s="11" t="n"/>
      <c r="B25" s="11" t="n"/>
      <c r="C25" s="11" t="n"/>
      <c r="D25" s="11" t="n"/>
      <c r="E25" s="5" t="n"/>
      <c r="F25" s="11" t="n"/>
      <c r="G25" s="11" t="n"/>
      <c r="H25" s="11" t="n"/>
      <c r="I25" s="11" t="n"/>
      <c r="J25" s="11" t="n"/>
      <c r="K25" s="11" t="n"/>
      <c r="L25" s="11" t="n"/>
      <c r="M25" s="12">
        <f>IFERROR(G25/F25,0)</f>
        <v/>
      </c>
      <c r="N25" s="13">
        <f>IFERROR(E25/H25,0)</f>
        <v/>
      </c>
      <c r="O25" s="13">
        <f>IFERROR(E25/I25,0)</f>
        <v/>
      </c>
    </row>
    <row r="26">
      <c r="A26" s="11" t="n"/>
      <c r="B26" s="11" t="n"/>
      <c r="C26" s="11" t="n"/>
      <c r="D26" s="11" t="n"/>
      <c r="E26" s="5" t="n"/>
      <c r="F26" s="11" t="n"/>
      <c r="G26" s="11" t="n"/>
      <c r="H26" s="11" t="n"/>
      <c r="I26" s="11" t="n"/>
      <c r="J26" s="11" t="n"/>
      <c r="K26" s="11" t="n"/>
      <c r="L26" s="11" t="n"/>
      <c r="M26" s="12">
        <f>IFERROR(G26/F26,0)</f>
        <v/>
      </c>
      <c r="N26" s="13">
        <f>IFERROR(E26/H26,0)</f>
        <v/>
      </c>
      <c r="O26" s="13">
        <f>IFERROR(E26/I26,0)</f>
        <v/>
      </c>
    </row>
    <row r="27">
      <c r="A27" s="11" t="n"/>
      <c r="B27" s="11" t="n"/>
      <c r="C27" s="11" t="n"/>
      <c r="D27" s="11" t="n"/>
      <c r="E27" s="5" t="n"/>
      <c r="F27" s="11" t="n"/>
      <c r="G27" s="11" t="n"/>
      <c r="H27" s="11" t="n"/>
      <c r="I27" s="11" t="n"/>
      <c r="J27" s="11" t="n"/>
      <c r="K27" s="11" t="n"/>
      <c r="L27" s="11" t="n"/>
      <c r="M27" s="12">
        <f>IFERROR(G27/F27,0)</f>
        <v/>
      </c>
      <c r="N27" s="13">
        <f>IFERROR(E27/H27,0)</f>
        <v/>
      </c>
      <c r="O27" s="13">
        <f>IFERROR(E27/I27,0)</f>
        <v/>
      </c>
    </row>
    <row r="28">
      <c r="A28" s="11" t="n"/>
      <c r="B28" s="11" t="n"/>
      <c r="C28" s="11" t="n"/>
      <c r="D28" s="11" t="n"/>
      <c r="E28" s="5" t="n"/>
      <c r="F28" s="11" t="n"/>
      <c r="G28" s="11" t="n"/>
      <c r="H28" s="11" t="n"/>
      <c r="I28" s="11" t="n"/>
      <c r="J28" s="11" t="n"/>
      <c r="K28" s="11" t="n"/>
      <c r="L28" s="11" t="n"/>
      <c r="M28" s="12">
        <f>IFERROR(G28/F28,0)</f>
        <v/>
      </c>
      <c r="N28" s="13">
        <f>IFERROR(E28/H28,0)</f>
        <v/>
      </c>
      <c r="O28" s="13">
        <f>IFERROR(E28/I28,0)</f>
        <v/>
      </c>
    </row>
    <row r="29">
      <c r="A29" s="11" t="n"/>
      <c r="B29" s="11" t="n"/>
      <c r="C29" s="11" t="n"/>
      <c r="D29" s="11" t="n"/>
      <c r="E29" s="5" t="n"/>
      <c r="F29" s="11" t="n"/>
      <c r="G29" s="11" t="n"/>
      <c r="H29" s="11" t="n"/>
      <c r="I29" s="11" t="n"/>
      <c r="J29" s="11" t="n"/>
      <c r="K29" s="11" t="n"/>
      <c r="L29" s="11" t="n"/>
      <c r="M29" s="12">
        <f>IFERROR(G29/F29,0)</f>
        <v/>
      </c>
      <c r="N29" s="13">
        <f>IFERROR(E29/H29,0)</f>
        <v/>
      </c>
      <c r="O29" s="13">
        <f>IFERROR(E29/I29,0)</f>
        <v/>
      </c>
    </row>
    <row r="30">
      <c r="A30" s="11" t="n"/>
      <c r="B30" s="11" t="n"/>
      <c r="C30" s="11" t="n"/>
      <c r="D30" s="11" t="n"/>
      <c r="E30" s="5" t="n"/>
      <c r="F30" s="11" t="n"/>
      <c r="G30" s="11" t="n"/>
      <c r="H30" s="11" t="n"/>
      <c r="I30" s="11" t="n"/>
      <c r="J30" s="11" t="n"/>
      <c r="K30" s="11" t="n"/>
      <c r="L30" s="11" t="n"/>
      <c r="M30" s="12">
        <f>IFERROR(G30/F30,0)</f>
        <v/>
      </c>
      <c r="N30" s="13">
        <f>IFERROR(E30/H30,0)</f>
        <v/>
      </c>
      <c r="O30" s="13">
        <f>IFERROR(E30/I30,0)</f>
        <v/>
      </c>
    </row>
    <row r="31">
      <c r="A31" s="11" t="n"/>
      <c r="B31" s="11" t="n"/>
      <c r="C31" s="11" t="n"/>
      <c r="D31" s="11" t="n"/>
      <c r="E31" s="5" t="n"/>
      <c r="F31" s="11" t="n"/>
      <c r="G31" s="11" t="n"/>
      <c r="H31" s="11" t="n"/>
      <c r="I31" s="11" t="n"/>
      <c r="J31" s="11" t="n"/>
      <c r="K31" s="11" t="n"/>
      <c r="L31" s="11" t="n"/>
      <c r="M31" s="12">
        <f>IFERROR(G31/F31,0)</f>
        <v/>
      </c>
      <c r="N31" s="13">
        <f>IFERROR(E31/H31,0)</f>
        <v/>
      </c>
      <c r="O31" s="13">
        <f>IFERROR(E31/I31,0)</f>
        <v/>
      </c>
    </row>
    <row r="32">
      <c r="A32" s="11" t="n"/>
      <c r="B32" s="11" t="n"/>
      <c r="C32" s="11" t="n"/>
      <c r="D32" s="11" t="n"/>
      <c r="E32" s="5" t="n"/>
      <c r="F32" s="11" t="n"/>
      <c r="G32" s="11" t="n"/>
      <c r="H32" s="11" t="n"/>
      <c r="I32" s="11" t="n"/>
      <c r="J32" s="11" t="n"/>
      <c r="K32" s="11" t="n"/>
      <c r="L32" s="11" t="n"/>
      <c r="M32" s="12">
        <f>IFERROR(G32/F32,0)</f>
        <v/>
      </c>
      <c r="N32" s="13">
        <f>IFERROR(E32/H32,0)</f>
        <v/>
      </c>
      <c r="O32" s="13">
        <f>IFERROR(E32/I32,0)</f>
        <v/>
      </c>
    </row>
    <row r="33">
      <c r="A33" s="11" t="n"/>
      <c r="B33" s="11" t="n"/>
      <c r="C33" s="11" t="n"/>
      <c r="D33" s="11" t="n"/>
      <c r="E33" s="5" t="n"/>
      <c r="F33" s="11" t="n"/>
      <c r="G33" s="11" t="n"/>
      <c r="H33" s="11" t="n"/>
      <c r="I33" s="11" t="n"/>
      <c r="J33" s="11" t="n"/>
      <c r="K33" s="11" t="n"/>
      <c r="L33" s="11" t="n"/>
      <c r="M33" s="12">
        <f>IFERROR(G33/F33,0)</f>
        <v/>
      </c>
      <c r="N33" s="13">
        <f>IFERROR(E33/H33,0)</f>
        <v/>
      </c>
      <c r="O33" s="13">
        <f>IFERROR(E33/I33,0)</f>
        <v/>
      </c>
    </row>
    <row r="34">
      <c r="A34" s="11" t="n"/>
      <c r="B34" s="11" t="n"/>
      <c r="C34" s="11" t="n"/>
      <c r="D34" s="11" t="n"/>
      <c r="E34" s="5" t="n"/>
      <c r="F34" s="11" t="n"/>
      <c r="G34" s="11" t="n"/>
      <c r="H34" s="11" t="n"/>
      <c r="I34" s="11" t="n"/>
      <c r="J34" s="11" t="n"/>
      <c r="K34" s="11" t="n"/>
      <c r="L34" s="11" t="n"/>
      <c r="M34" s="12">
        <f>IFERROR(G34/F34,0)</f>
        <v/>
      </c>
      <c r="N34" s="13">
        <f>IFERROR(E34/H34,0)</f>
        <v/>
      </c>
      <c r="O34" s="13">
        <f>IFERROR(E34/I34,0)</f>
        <v/>
      </c>
    </row>
    <row r="35">
      <c r="A35" s="11" t="n"/>
      <c r="B35" s="11" t="n"/>
      <c r="C35" s="11" t="n"/>
      <c r="D35" s="11" t="n"/>
      <c r="E35" s="5" t="n"/>
      <c r="F35" s="11" t="n"/>
      <c r="G35" s="11" t="n"/>
      <c r="H35" s="11" t="n"/>
      <c r="I35" s="11" t="n"/>
      <c r="J35" s="11" t="n"/>
      <c r="K35" s="11" t="n"/>
      <c r="L35" s="11" t="n"/>
      <c r="M35" s="12">
        <f>IFERROR(G35/F35,0)</f>
        <v/>
      </c>
      <c r="N35" s="13">
        <f>IFERROR(E35/H35,0)</f>
        <v/>
      </c>
      <c r="O35" s="13">
        <f>IFERROR(E35/I35,0)</f>
        <v/>
      </c>
    </row>
    <row r="36">
      <c r="A36" s="11" t="n"/>
      <c r="B36" s="11" t="n"/>
      <c r="C36" s="11" t="n"/>
      <c r="D36" s="11" t="n"/>
      <c r="E36" s="5" t="n"/>
      <c r="F36" s="11" t="n"/>
      <c r="G36" s="11" t="n"/>
      <c r="H36" s="11" t="n"/>
      <c r="I36" s="11" t="n"/>
      <c r="J36" s="11" t="n"/>
      <c r="K36" s="11" t="n"/>
      <c r="L36" s="11" t="n"/>
      <c r="M36" s="12">
        <f>IFERROR(G36/F36,0)</f>
        <v/>
      </c>
      <c r="N36" s="13">
        <f>IFERROR(E36/H36,0)</f>
        <v/>
      </c>
      <c r="O36" s="13">
        <f>IFERROR(E36/I36,0)</f>
        <v/>
      </c>
    </row>
    <row r="37">
      <c r="A37" s="11" t="n"/>
      <c r="B37" s="11" t="n"/>
      <c r="C37" s="11" t="n"/>
      <c r="D37" s="11" t="n"/>
      <c r="E37" s="5" t="n"/>
      <c r="F37" s="11" t="n"/>
      <c r="G37" s="11" t="n"/>
      <c r="H37" s="11" t="n"/>
      <c r="I37" s="11" t="n"/>
      <c r="J37" s="11" t="n"/>
      <c r="K37" s="11" t="n"/>
      <c r="L37" s="11" t="n"/>
      <c r="M37" s="12">
        <f>IFERROR(G37/F37,0)</f>
        <v/>
      </c>
      <c r="N37" s="13">
        <f>IFERROR(E37/H37,0)</f>
        <v/>
      </c>
      <c r="O37" s="13">
        <f>IFERROR(E37/I37,0)</f>
        <v/>
      </c>
    </row>
    <row r="38">
      <c r="A38" s="11" t="n"/>
      <c r="B38" s="11" t="n"/>
      <c r="C38" s="11" t="n"/>
      <c r="D38" s="11" t="n"/>
      <c r="E38" s="5" t="n"/>
      <c r="F38" s="11" t="n"/>
      <c r="G38" s="11" t="n"/>
      <c r="H38" s="11" t="n"/>
      <c r="I38" s="11" t="n"/>
      <c r="J38" s="11" t="n"/>
      <c r="K38" s="11" t="n"/>
      <c r="L38" s="11" t="n"/>
      <c r="M38" s="12">
        <f>IFERROR(G38/F38,0)</f>
        <v/>
      </c>
      <c r="N38" s="13">
        <f>IFERROR(E38/H38,0)</f>
        <v/>
      </c>
      <c r="O38" s="13">
        <f>IFERROR(E38/I38,0)</f>
        <v/>
      </c>
    </row>
    <row r="39">
      <c r="A39" s="11" t="n"/>
      <c r="B39" s="11" t="n"/>
      <c r="C39" s="11" t="n"/>
      <c r="D39" s="11" t="n"/>
      <c r="E39" s="5" t="n"/>
      <c r="F39" s="11" t="n"/>
      <c r="G39" s="11" t="n"/>
      <c r="H39" s="11" t="n"/>
      <c r="I39" s="11" t="n"/>
      <c r="J39" s="11" t="n"/>
      <c r="K39" s="11" t="n"/>
      <c r="L39" s="11" t="n"/>
      <c r="M39" s="12">
        <f>IFERROR(G39/F39,0)</f>
        <v/>
      </c>
      <c r="N39" s="13">
        <f>IFERROR(E39/H39,0)</f>
        <v/>
      </c>
      <c r="O39" s="13">
        <f>IFERROR(E39/I39,0)</f>
        <v/>
      </c>
    </row>
    <row r="40">
      <c r="A40" s="11" t="n"/>
      <c r="B40" s="11" t="n"/>
      <c r="C40" s="11" t="n"/>
      <c r="D40" s="11" t="n"/>
      <c r="E40" s="5" t="n"/>
      <c r="F40" s="11" t="n"/>
      <c r="G40" s="11" t="n"/>
      <c r="H40" s="11" t="n"/>
      <c r="I40" s="11" t="n"/>
      <c r="J40" s="11" t="n"/>
      <c r="K40" s="11" t="n"/>
      <c r="L40" s="11" t="n"/>
      <c r="M40" s="12">
        <f>IFERROR(G40/F40,0)</f>
        <v/>
      </c>
      <c r="N40" s="13">
        <f>IFERROR(E40/H40,0)</f>
        <v/>
      </c>
      <c r="O40" s="13">
        <f>IFERROR(E40/I40,0)</f>
        <v/>
      </c>
    </row>
    <row r="41">
      <c r="A41" s="11" t="n"/>
      <c r="B41" s="11" t="n"/>
      <c r="C41" s="11" t="n"/>
      <c r="D41" s="11" t="n"/>
      <c r="E41" s="5" t="n"/>
      <c r="F41" s="11" t="n"/>
      <c r="G41" s="11" t="n"/>
      <c r="H41" s="11" t="n"/>
      <c r="I41" s="11" t="n"/>
      <c r="J41" s="11" t="n"/>
      <c r="K41" s="11" t="n"/>
      <c r="L41" s="11" t="n"/>
      <c r="M41" s="12">
        <f>IFERROR(G41/F41,0)</f>
        <v/>
      </c>
      <c r="N41" s="13">
        <f>IFERROR(E41/H41,0)</f>
        <v/>
      </c>
      <c r="O41" s="13">
        <f>IFERROR(E41/I41,0)</f>
        <v/>
      </c>
    </row>
    <row r="42">
      <c r="A42" s="11" t="n"/>
      <c r="B42" s="11" t="n"/>
      <c r="C42" s="11" t="n"/>
      <c r="D42" s="11" t="n"/>
      <c r="E42" s="5" t="n"/>
      <c r="F42" s="11" t="n"/>
      <c r="G42" s="11" t="n"/>
      <c r="H42" s="11" t="n"/>
      <c r="I42" s="11" t="n"/>
      <c r="J42" s="11" t="n"/>
      <c r="K42" s="11" t="n"/>
      <c r="L42" s="11" t="n"/>
      <c r="M42" s="12">
        <f>IFERROR(G42/F42,0)</f>
        <v/>
      </c>
      <c r="N42" s="13">
        <f>IFERROR(E42/H42,0)</f>
        <v/>
      </c>
      <c r="O42" s="13">
        <f>IFERROR(E42/I42,0)</f>
        <v/>
      </c>
    </row>
    <row r="43">
      <c r="A43" s="11" t="n"/>
      <c r="B43" s="11" t="n"/>
      <c r="C43" s="11" t="n"/>
      <c r="D43" s="11" t="n"/>
      <c r="E43" s="5" t="n"/>
      <c r="F43" s="11" t="n"/>
      <c r="G43" s="11" t="n"/>
      <c r="H43" s="11" t="n"/>
      <c r="I43" s="11" t="n"/>
      <c r="J43" s="11" t="n"/>
      <c r="K43" s="11" t="n"/>
      <c r="L43" s="11" t="n"/>
      <c r="M43" s="12">
        <f>IFERROR(G43/F43,0)</f>
        <v/>
      </c>
      <c r="N43" s="13">
        <f>IFERROR(E43/H43,0)</f>
        <v/>
      </c>
      <c r="O43" s="13">
        <f>IFERROR(E43/I43,0)</f>
        <v/>
      </c>
    </row>
    <row r="44">
      <c r="A44" s="11" t="n"/>
      <c r="B44" s="11" t="n"/>
      <c r="C44" s="11" t="n"/>
      <c r="D44" s="11" t="n"/>
      <c r="E44" s="5" t="n"/>
      <c r="F44" s="11" t="n"/>
      <c r="G44" s="11" t="n"/>
      <c r="H44" s="11" t="n"/>
      <c r="I44" s="11" t="n"/>
      <c r="J44" s="11" t="n"/>
      <c r="K44" s="11" t="n"/>
      <c r="L44" s="11" t="n"/>
      <c r="M44" s="12">
        <f>IFERROR(G44/F44,0)</f>
        <v/>
      </c>
      <c r="N44" s="13">
        <f>IFERROR(E44/H44,0)</f>
        <v/>
      </c>
      <c r="O44" s="13">
        <f>IFERROR(E44/I44,0)</f>
        <v/>
      </c>
    </row>
    <row r="45">
      <c r="A45" s="11" t="n"/>
      <c r="B45" s="11" t="n"/>
      <c r="C45" s="11" t="n"/>
      <c r="D45" s="11" t="n"/>
      <c r="E45" s="5" t="n"/>
      <c r="F45" s="11" t="n"/>
      <c r="G45" s="11" t="n"/>
      <c r="H45" s="11" t="n"/>
      <c r="I45" s="11" t="n"/>
      <c r="J45" s="11" t="n"/>
      <c r="K45" s="11" t="n"/>
      <c r="L45" s="11" t="n"/>
      <c r="M45" s="12">
        <f>IFERROR(G45/F45,0)</f>
        <v/>
      </c>
      <c r="N45" s="13">
        <f>IFERROR(E45/H45,0)</f>
        <v/>
      </c>
      <c r="O45" s="13">
        <f>IFERROR(E45/I45,0)</f>
        <v/>
      </c>
    </row>
    <row r="46">
      <c r="A46" s="11" t="n"/>
      <c r="B46" s="11" t="n"/>
      <c r="C46" s="11" t="n"/>
      <c r="D46" s="11" t="n"/>
      <c r="E46" s="5" t="n"/>
      <c r="F46" s="11" t="n"/>
      <c r="G46" s="11" t="n"/>
      <c r="H46" s="11" t="n"/>
      <c r="I46" s="11" t="n"/>
      <c r="J46" s="11" t="n"/>
      <c r="K46" s="11" t="n"/>
      <c r="L46" s="11" t="n"/>
      <c r="M46" s="12">
        <f>IFERROR(G46/F46,0)</f>
        <v/>
      </c>
      <c r="N46" s="13">
        <f>IFERROR(E46/H46,0)</f>
        <v/>
      </c>
      <c r="O46" s="13">
        <f>IFERROR(E46/I46,0)</f>
        <v/>
      </c>
    </row>
    <row r="47">
      <c r="A47" s="11" t="n"/>
      <c r="B47" s="11" t="n"/>
      <c r="C47" s="11" t="n"/>
      <c r="D47" s="11" t="n"/>
      <c r="E47" s="5" t="n"/>
      <c r="F47" s="11" t="n"/>
      <c r="G47" s="11" t="n"/>
      <c r="H47" s="11" t="n"/>
      <c r="I47" s="11" t="n"/>
      <c r="J47" s="11" t="n"/>
      <c r="K47" s="11" t="n"/>
      <c r="L47" s="11" t="n"/>
      <c r="M47" s="12">
        <f>IFERROR(G47/F47,0)</f>
        <v/>
      </c>
      <c r="N47" s="13">
        <f>IFERROR(E47/H47,0)</f>
        <v/>
      </c>
      <c r="O47" s="13">
        <f>IFERROR(E47/I47,0)</f>
        <v/>
      </c>
    </row>
    <row r="48">
      <c r="A48" s="11" t="n"/>
      <c r="B48" s="11" t="n"/>
      <c r="C48" s="11" t="n"/>
      <c r="D48" s="11" t="n"/>
      <c r="E48" s="5" t="n"/>
      <c r="F48" s="11" t="n"/>
      <c r="G48" s="11" t="n"/>
      <c r="H48" s="11" t="n"/>
      <c r="I48" s="11" t="n"/>
      <c r="J48" s="11" t="n"/>
      <c r="K48" s="11" t="n"/>
      <c r="L48" s="11" t="n"/>
      <c r="M48" s="12">
        <f>IFERROR(G48/F48,0)</f>
        <v/>
      </c>
      <c r="N48" s="13">
        <f>IFERROR(E48/H48,0)</f>
        <v/>
      </c>
      <c r="O48" s="13">
        <f>IFERROR(E48/I48,0)</f>
        <v/>
      </c>
    </row>
    <row r="49">
      <c r="A49" s="11" t="n"/>
      <c r="B49" s="11" t="n"/>
      <c r="C49" s="11" t="n"/>
      <c r="D49" s="11" t="n"/>
      <c r="E49" s="5" t="n"/>
      <c r="F49" s="11" t="n"/>
      <c r="G49" s="11" t="n"/>
      <c r="H49" s="11" t="n"/>
      <c r="I49" s="11" t="n"/>
      <c r="J49" s="11" t="n"/>
      <c r="K49" s="11" t="n"/>
      <c r="L49" s="11" t="n"/>
      <c r="M49" s="12">
        <f>IFERROR(G49/F49,0)</f>
        <v/>
      </c>
      <c r="N49" s="13">
        <f>IFERROR(E49/H49,0)</f>
        <v/>
      </c>
      <c r="O49" s="13">
        <f>IFERROR(E49/I49,0)</f>
        <v/>
      </c>
    </row>
    <row r="50">
      <c r="A50" s="11" t="n"/>
      <c r="B50" s="11" t="n"/>
      <c r="C50" s="11" t="n"/>
      <c r="D50" s="11" t="n"/>
      <c r="E50" s="5" t="n"/>
      <c r="F50" s="11" t="n"/>
      <c r="G50" s="11" t="n"/>
      <c r="H50" s="11" t="n"/>
      <c r="I50" s="11" t="n"/>
      <c r="J50" s="11" t="n"/>
      <c r="K50" s="11" t="n"/>
      <c r="L50" s="11" t="n"/>
      <c r="M50" s="12">
        <f>IFERROR(G50/F50,0)</f>
        <v/>
      </c>
      <c r="N50" s="13">
        <f>IFERROR(E50/H50,0)</f>
        <v/>
      </c>
      <c r="O50" s="13">
        <f>IFERROR(E50/I50,0)</f>
        <v/>
      </c>
    </row>
    <row r="51">
      <c r="A51" s="11" t="n"/>
      <c r="B51" s="11" t="n"/>
      <c r="C51" s="11" t="n"/>
      <c r="D51" s="11" t="n"/>
      <c r="E51" s="5" t="n"/>
      <c r="F51" s="11" t="n"/>
      <c r="G51" s="11" t="n"/>
      <c r="H51" s="11" t="n"/>
      <c r="I51" s="11" t="n"/>
      <c r="J51" s="11" t="n"/>
      <c r="K51" s="11" t="n"/>
      <c r="L51" s="11" t="n"/>
      <c r="M51" s="12">
        <f>IFERROR(G51/F51,0)</f>
        <v/>
      </c>
      <c r="N51" s="13">
        <f>IFERROR(E51/H51,0)</f>
        <v/>
      </c>
      <c r="O51" s="13">
        <f>IFERROR(E51/I51,0)</f>
        <v/>
      </c>
    </row>
    <row r="52">
      <c r="A52" s="11" t="n"/>
      <c r="B52" s="11" t="n"/>
      <c r="C52" s="11" t="n"/>
      <c r="D52" s="11" t="n"/>
      <c r="E52" s="5" t="n"/>
      <c r="F52" s="11" t="n"/>
      <c r="G52" s="11" t="n"/>
      <c r="H52" s="11" t="n"/>
      <c r="I52" s="11" t="n"/>
      <c r="J52" s="11" t="n"/>
      <c r="K52" s="11" t="n"/>
      <c r="L52" s="11" t="n"/>
      <c r="M52" s="12">
        <f>IFERROR(G52/F52,0)</f>
        <v/>
      </c>
      <c r="N52" s="13">
        <f>IFERROR(E52/H52,0)</f>
        <v/>
      </c>
      <c r="O52" s="13">
        <f>IFERROR(E52/I52,0)</f>
        <v/>
      </c>
    </row>
    <row r="53">
      <c r="A53" s="11" t="n"/>
      <c r="B53" s="11" t="n"/>
      <c r="C53" s="11" t="n"/>
      <c r="D53" s="11" t="n"/>
      <c r="E53" s="5" t="n"/>
      <c r="F53" s="11" t="n"/>
      <c r="G53" s="11" t="n"/>
      <c r="H53" s="11" t="n"/>
      <c r="I53" s="11" t="n"/>
      <c r="J53" s="11" t="n"/>
      <c r="K53" s="11" t="n"/>
      <c r="L53" s="11" t="n"/>
      <c r="M53" s="12">
        <f>IFERROR(G53/F53,0)</f>
        <v/>
      </c>
      <c r="N53" s="13">
        <f>IFERROR(E53/H53,0)</f>
        <v/>
      </c>
      <c r="O53" s="13">
        <f>IFERROR(E53/I53,0)</f>
        <v/>
      </c>
    </row>
    <row r="54">
      <c r="A54" s="11" t="n"/>
      <c r="B54" s="11" t="n"/>
      <c r="C54" s="11" t="n"/>
      <c r="D54" s="11" t="n"/>
      <c r="E54" s="5" t="n"/>
      <c r="F54" s="11" t="n"/>
      <c r="G54" s="11" t="n"/>
      <c r="H54" s="11" t="n"/>
      <c r="I54" s="11" t="n"/>
      <c r="J54" s="11" t="n"/>
      <c r="K54" s="11" t="n"/>
      <c r="L54" s="11" t="n"/>
      <c r="M54" s="12">
        <f>IFERROR(G54/F54,0)</f>
        <v/>
      </c>
      <c r="N54" s="13">
        <f>IFERROR(E54/H54,0)</f>
        <v/>
      </c>
      <c r="O54" s="13">
        <f>IFERROR(E54/I54,0)</f>
        <v/>
      </c>
    </row>
    <row r="55">
      <c r="A55" s="11" t="n"/>
      <c r="B55" s="11" t="n"/>
      <c r="C55" s="11" t="n"/>
      <c r="D55" s="11" t="n"/>
      <c r="E55" s="5" t="n"/>
      <c r="F55" s="11" t="n"/>
      <c r="G55" s="11" t="n"/>
      <c r="H55" s="11" t="n"/>
      <c r="I55" s="11" t="n"/>
      <c r="J55" s="11" t="n"/>
      <c r="K55" s="11" t="n"/>
      <c r="L55" s="11" t="n"/>
      <c r="M55" s="12">
        <f>IFERROR(G55/F55,0)</f>
        <v/>
      </c>
      <c r="N55" s="13">
        <f>IFERROR(E55/H55,0)</f>
        <v/>
      </c>
      <c r="O55" s="13">
        <f>IFERROR(E55/I55,0)</f>
        <v/>
      </c>
    </row>
  </sheetData>
  <conditionalFormatting sqref="N4:N55">
    <cfRule type="cellIs" priority="1" operator="lessThanOrEqual" dxfId="0">
      <formula>Metas!$B$5</formula>
    </cfRule>
    <cfRule type="cellIs" priority="2" operator="greaterThan" dxfId="2">
      <formula>Metas!$B$5*1.5</formula>
    </cfRule>
  </conditionalFormatting>
  <conditionalFormatting sqref="O4:O55">
    <cfRule type="cellIs" priority="3" operator="lessThanOrEqual" dxfId="0">
      <formula>Metas!$B$6</formula>
    </cfRule>
    <cfRule type="cellIs" priority="4" operator="greaterThan" dxfId="2">
      <formula>Metas!$B$6*1.5</formula>
    </cfRule>
  </conditionalFormatting>
  <dataValidations count="2">
    <dataValidation sqref="B4 B5 B6 B7 B8 B9 B10 B11 B12 B13 B14 B15 B16 B17 B18 B19 B20 B21 B22 B23 B24 B25 B26 B27 B28 B29 B30 B31 B32 B33 B34 B35 B36 B37 B38 B39 B40 B41 B42 B43 B44 B45 B46 B47 B48 B49 B50 B51 B52 B53 B54 B55" showDropDown="0" showInputMessage="0" showErrorMessage="0" allowBlank="1" type="list">
      <formula1>"Meta,Google,YouTube,TikTok"</formula1>
    </dataValidation>
    <dataValidation sqref="D4 D5 D6 D7 D8 D9 D10 D11 D12 D13 D14 D15 D16 D17 D18 D19 D20 D21 D22 D23 D24 D25 D26 D27 D28 D29 D30 D31 D32 D33 D34 D35 D36 D37 D38 D39 D40 D41 D42 D43 D44 D45 D46 D47 D48 D49 D50 D51 D52 D53 D54 D55" showDropDown="0" showInputMessage="0" showErrorMessage="0" allowBlank="1" type="list">
      <formula1>"TOFU,Retargeting,BOFU,Escala"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8"/>
  <sheetViews>
    <sheetView workbookViewId="0">
      <pane ySplit="3" topLeftCell="A4" activePane="bottomLeft" state="frozen"/>
      <selection pane="bottomLeft" activeCell="A1" sqref="A1"/>
    </sheetView>
  </sheetViews>
  <sheetFormatPr baseColWidth="8" defaultRowHeight="15"/>
  <cols>
    <col width="16" customWidth="1" min="1" max="1"/>
    <col width="11" customWidth="1" min="2" max="2"/>
    <col width="12" customWidth="1" min="3" max="3"/>
    <col width="18" customWidth="1" min="4" max="4"/>
    <col width="20" customWidth="1" min="5" max="5"/>
    <col width="15" customWidth="1" min="6" max="6"/>
    <col width="16" customWidth="1" min="7" max="7"/>
    <col width="15" customWidth="1" min="8" max="8"/>
    <col width="11" customWidth="1" min="9" max="9"/>
    <col width="26" customWidth="1" min="10" max="10"/>
    <col width="18" customWidth="1" min="12" max="12"/>
    <col width="8" customWidth="1" min="13" max="13"/>
  </cols>
  <sheetData>
    <row r="1">
      <c r="A1" s="1" t="inlineStr">
        <is>
          <t>🧭 FUNIL DE VENDAS (atendimentos atuais)</t>
        </is>
      </c>
    </row>
    <row r="2">
      <c r="H2" s="14" t="inlineStr">
        <is>
          <t>Resumo do funil →</t>
        </is>
      </c>
    </row>
    <row r="3">
      <c r="A3" s="3" t="inlineStr">
        <is>
          <t>Lead</t>
        </is>
      </c>
      <c r="B3" s="3" t="inlineStr">
        <is>
          <t>Origem</t>
        </is>
      </c>
      <c r="C3" s="3" t="inlineStr">
        <is>
          <t>Entrada</t>
        </is>
      </c>
      <c r="D3" s="3" t="inlineStr">
        <is>
          <t>Estágio</t>
        </is>
      </c>
      <c r="E3" s="3" t="inlineStr">
        <is>
          <t>Imóvel</t>
        </is>
      </c>
      <c r="F3" s="3" t="inlineStr">
        <is>
          <t>Valor imóvel</t>
        </is>
      </c>
      <c r="G3" s="3" t="inlineStr">
        <is>
          <t>Comissão potencial</t>
        </is>
      </c>
      <c r="H3" s="3" t="inlineStr">
        <is>
          <t>Última interação</t>
        </is>
      </c>
      <c r="I3" s="3" t="inlineStr">
        <is>
          <t>Dias parado</t>
        </is>
      </c>
      <c r="J3" s="3" t="inlineStr">
        <is>
          <t>Próxima ação</t>
        </is>
      </c>
      <c r="L3" s="3" t="inlineStr">
        <is>
          <t>Estágio</t>
        </is>
      </c>
      <c r="M3" s="3" t="inlineStr">
        <is>
          <t>Qtd</t>
        </is>
      </c>
    </row>
    <row r="4">
      <c r="A4" s="11" t="inlineStr">
        <is>
          <t>Marina S.</t>
        </is>
      </c>
      <c r="B4" s="11" t="inlineStr">
        <is>
          <t>Meta</t>
        </is>
      </c>
      <c r="C4" s="11" t="inlineStr">
        <is>
          <t>2026-06-01</t>
        </is>
      </c>
      <c r="D4" s="11" t="inlineStr">
        <is>
          <t>Visita agendada</t>
        </is>
      </c>
      <c r="E4" s="11" t="inlineStr">
        <is>
          <t>Apê 2q [Bairro]</t>
        </is>
      </c>
      <c r="F4" s="5" t="n">
        <v>389000</v>
      </c>
      <c r="G4" s="5">
        <f>F4*0.05</f>
        <v/>
      </c>
      <c r="H4" s="11" t="inlineStr">
        <is>
          <t>2026-06-04</t>
        </is>
      </c>
      <c r="I4" s="11">
        <f>TODAY()-H4</f>
        <v/>
      </c>
      <c r="J4" s="11" t="inlineStr">
        <is>
          <t>Confirmar visita sáb</t>
        </is>
      </c>
      <c r="L4" s="11" t="inlineStr">
        <is>
          <t>Conversa iniciada</t>
        </is>
      </c>
      <c r="M4" s="11">
        <f>COUNTIF($D$4:$D$38,"Conversa iniciada")</f>
        <v/>
      </c>
    </row>
    <row r="5">
      <c r="A5" s="11" t="inlineStr">
        <is>
          <t>João P.</t>
        </is>
      </c>
      <c r="B5" s="11" t="inlineStr">
        <is>
          <t>Google</t>
        </is>
      </c>
      <c r="C5" s="11" t="inlineStr">
        <is>
          <t>2026-06-02</t>
        </is>
      </c>
      <c r="D5" s="11" t="inlineStr">
        <is>
          <t>Proposta</t>
        </is>
      </c>
      <c r="E5" s="11" t="inlineStr">
        <is>
          <t>Cobertura frente-mar</t>
        </is>
      </c>
      <c r="F5" s="5" t="n">
        <v>1200000</v>
      </c>
      <c r="G5" s="5">
        <f>F5*0.05</f>
        <v/>
      </c>
      <c r="H5" s="11" t="inlineStr">
        <is>
          <t>2026-06-05</t>
        </is>
      </c>
      <c r="I5" s="11">
        <f>TODAY()-H5</f>
        <v/>
      </c>
      <c r="J5" s="11" t="inlineStr">
        <is>
          <t>Negociar contraproposta</t>
        </is>
      </c>
      <c r="L5" s="11" t="inlineStr">
        <is>
          <t>Qualificado</t>
        </is>
      </c>
      <c r="M5" s="11">
        <f>COUNTIF($D$4:$D$38,"Qualificado")</f>
        <v/>
      </c>
    </row>
    <row r="6">
      <c r="A6" s="11" t="inlineStr">
        <is>
          <t>Ana e Léo</t>
        </is>
      </c>
      <c r="B6" s="11" t="inlineStr">
        <is>
          <t>Meta</t>
        </is>
      </c>
      <c r="C6" s="11" t="inlineStr">
        <is>
          <t>2026-06-02</t>
        </is>
      </c>
      <c r="D6" s="11" t="inlineStr">
        <is>
          <t>Qualificado</t>
        </is>
      </c>
      <c r="E6" s="11" t="inlineStr">
        <is>
          <t>Apê 3q upgrade</t>
        </is>
      </c>
      <c r="F6" s="5" t="n">
        <v>560000</v>
      </c>
      <c r="G6" s="5">
        <f>F6*0.05</f>
        <v/>
      </c>
      <c r="H6" s="11" t="inlineStr">
        <is>
          <t>2026-06-03</t>
        </is>
      </c>
      <c r="I6" s="11">
        <f>TODAY()-H6</f>
        <v/>
      </c>
      <c r="J6" s="11" t="inlineStr">
        <is>
          <t>Enviar simulação</t>
        </is>
      </c>
      <c r="L6" s="11" t="inlineStr">
        <is>
          <t>Visita agendada</t>
        </is>
      </c>
      <c r="M6" s="11">
        <f>COUNTIF($D$4:$D$38,"Visita agendada")</f>
        <v/>
      </c>
    </row>
    <row r="7">
      <c r="A7" s="11" t="inlineStr">
        <is>
          <t>Carlos M.</t>
        </is>
      </c>
      <c r="B7" s="11" t="inlineStr">
        <is>
          <t>TikTok</t>
        </is>
      </c>
      <c r="C7" s="11" t="inlineStr">
        <is>
          <t>2026-06-03</t>
        </is>
      </c>
      <c r="D7" s="11" t="inlineStr">
        <is>
          <t>Conversa iniciada</t>
        </is>
      </c>
      <c r="E7" s="11" t="inlineStr">
        <is>
          <t>MCMV 2q</t>
        </is>
      </c>
      <c r="F7" s="5" t="n">
        <v>250000</v>
      </c>
      <c r="G7" s="5">
        <f>F7*0.05</f>
        <v/>
      </c>
      <c r="H7" s="11" t="inlineStr">
        <is>
          <t>2026-06-03</t>
        </is>
      </c>
      <c r="I7" s="11">
        <f>TODAY()-H7</f>
        <v/>
      </c>
      <c r="J7" s="11" t="inlineStr">
        <is>
          <t>Qualificar renda/FGTS</t>
        </is>
      </c>
      <c r="L7" s="11" t="inlineStr">
        <is>
          <t>Proposta</t>
        </is>
      </c>
      <c r="M7" s="11">
        <f>COUNTIF($D$4:$D$38,"Proposta")</f>
        <v/>
      </c>
    </row>
    <row r="8">
      <c r="A8" s="11" t="inlineStr">
        <is>
          <t>Investidor RJ</t>
        </is>
      </c>
      <c r="B8" s="11" t="inlineStr">
        <is>
          <t>Meta</t>
        </is>
      </c>
      <c r="C8" s="11" t="inlineStr">
        <is>
          <t>2026-06-03</t>
        </is>
      </c>
      <c r="D8" s="11" t="inlineStr">
        <is>
          <t>Qualificado</t>
        </is>
      </c>
      <c r="E8" s="11" t="inlineStr">
        <is>
          <t>Studio frente-mar</t>
        </is>
      </c>
      <c r="F8" s="5" t="n">
        <v>430000</v>
      </c>
      <c r="G8" s="5">
        <f>F8*0.05</f>
        <v/>
      </c>
      <c r="H8" s="11" t="inlineStr">
        <is>
          <t>2026-06-04</t>
        </is>
      </c>
      <c r="I8" s="11">
        <f>TODAY()-H8</f>
        <v/>
      </c>
      <c r="J8" s="11" t="inlineStr">
        <is>
          <t>Enviar estudo ROI</t>
        </is>
      </c>
      <c r="L8" s="11" t="inlineStr">
        <is>
          <t>Venda</t>
        </is>
      </c>
      <c r="M8" s="11">
        <f>COUNTIF($D$4:$D$38,"Venda")</f>
        <v/>
      </c>
    </row>
    <row r="9">
      <c r="A9" s="11" t="n"/>
      <c r="B9" s="11" t="n"/>
      <c r="C9" s="11" t="n"/>
      <c r="D9" s="11" t="n"/>
      <c r="E9" s="11" t="n"/>
      <c r="F9" s="5" t="n"/>
      <c r="G9" s="5">
        <f>IFERROR(F9*0.05,0)</f>
        <v/>
      </c>
      <c r="H9" s="11" t="n"/>
      <c r="I9" s="11">
        <f>IF(H9="","",TODAY()-H9)</f>
        <v/>
      </c>
      <c r="J9" s="11" t="n"/>
      <c r="L9" s="11" t="inlineStr">
        <is>
          <t>Perdido</t>
        </is>
      </c>
      <c r="M9" s="11">
        <f>COUNTIF($D$4:$D$38,"Perdido")</f>
        <v/>
      </c>
    </row>
    <row r="10">
      <c r="A10" s="11" t="n"/>
      <c r="B10" s="11" t="n"/>
      <c r="C10" s="11" t="n"/>
      <c r="D10" s="11" t="n"/>
      <c r="E10" s="11" t="n"/>
      <c r="F10" s="5" t="n"/>
      <c r="G10" s="5">
        <f>IFERROR(F10*0.05,0)</f>
        <v/>
      </c>
      <c r="H10" s="11" t="n"/>
      <c r="I10" s="11">
        <f>IF(H10="","",TODAY()-H10)</f>
        <v/>
      </c>
      <c r="J10" s="11" t="n"/>
    </row>
    <row r="11">
      <c r="A11" s="11" t="n"/>
      <c r="B11" s="11" t="n"/>
      <c r="C11" s="11" t="n"/>
      <c r="D11" s="11" t="n"/>
      <c r="E11" s="11" t="n"/>
      <c r="F11" s="5" t="n"/>
      <c r="G11" s="5">
        <f>IFERROR(F11*0.05,0)</f>
        <v/>
      </c>
      <c r="H11" s="11" t="n"/>
      <c r="I11" s="11">
        <f>IF(H11="","",TODAY()-H11)</f>
        <v/>
      </c>
      <c r="J11" s="11" t="n"/>
    </row>
    <row r="12">
      <c r="A12" s="11" t="n"/>
      <c r="B12" s="11" t="n"/>
      <c r="C12" s="11" t="n"/>
      <c r="D12" s="11" t="n"/>
      <c r="E12" s="11" t="n"/>
      <c r="F12" s="5" t="n"/>
      <c r="G12" s="5">
        <f>IFERROR(F12*0.05,0)</f>
        <v/>
      </c>
      <c r="H12" s="11" t="n"/>
      <c r="I12" s="11">
        <f>IF(H12="","",TODAY()-H12)</f>
        <v/>
      </c>
      <c r="J12" s="11" t="n"/>
    </row>
    <row r="13">
      <c r="A13" s="11" t="n"/>
      <c r="B13" s="11" t="n"/>
      <c r="C13" s="11" t="n"/>
      <c r="D13" s="11" t="n"/>
      <c r="E13" s="11" t="n"/>
      <c r="F13" s="5" t="n"/>
      <c r="G13" s="5">
        <f>IFERROR(F13*0.05,0)</f>
        <v/>
      </c>
      <c r="H13" s="11" t="n"/>
      <c r="I13" s="11">
        <f>IF(H13="","",TODAY()-H13)</f>
        <v/>
      </c>
      <c r="J13" s="11" t="n"/>
    </row>
    <row r="14">
      <c r="A14" s="11" t="n"/>
      <c r="B14" s="11" t="n"/>
      <c r="C14" s="11" t="n"/>
      <c r="D14" s="11" t="n"/>
      <c r="E14" s="11" t="n"/>
      <c r="F14" s="5" t="n"/>
      <c r="G14" s="5">
        <f>IFERROR(F14*0.05,0)</f>
        <v/>
      </c>
      <c r="H14" s="11" t="n"/>
      <c r="I14" s="11">
        <f>IF(H14="","",TODAY()-H14)</f>
        <v/>
      </c>
      <c r="J14" s="11" t="n"/>
    </row>
    <row r="15">
      <c r="A15" s="11" t="n"/>
      <c r="B15" s="11" t="n"/>
      <c r="C15" s="11" t="n"/>
      <c r="D15" s="11" t="n"/>
      <c r="E15" s="11" t="n"/>
      <c r="F15" s="5" t="n"/>
      <c r="G15" s="5">
        <f>IFERROR(F15*0.05,0)</f>
        <v/>
      </c>
      <c r="H15" s="11" t="n"/>
      <c r="I15" s="11">
        <f>IF(H15="","",TODAY()-H15)</f>
        <v/>
      </c>
      <c r="J15" s="11" t="n"/>
    </row>
    <row r="16">
      <c r="A16" s="11" t="n"/>
      <c r="B16" s="11" t="n"/>
      <c r="C16" s="11" t="n"/>
      <c r="D16" s="11" t="n"/>
      <c r="E16" s="11" t="n"/>
      <c r="F16" s="5" t="n"/>
      <c r="G16" s="5">
        <f>IFERROR(F16*0.05,0)</f>
        <v/>
      </c>
      <c r="H16" s="11" t="n"/>
      <c r="I16" s="11">
        <f>IF(H16="","",TODAY()-H16)</f>
        <v/>
      </c>
      <c r="J16" s="11" t="n"/>
    </row>
    <row r="17">
      <c r="A17" s="11" t="n"/>
      <c r="B17" s="11" t="n"/>
      <c r="C17" s="11" t="n"/>
      <c r="D17" s="11" t="n"/>
      <c r="E17" s="11" t="n"/>
      <c r="F17" s="5" t="n"/>
      <c r="G17" s="5">
        <f>IFERROR(F17*0.05,0)</f>
        <v/>
      </c>
      <c r="H17" s="11" t="n"/>
      <c r="I17" s="11">
        <f>IF(H17="","",TODAY()-H17)</f>
        <v/>
      </c>
      <c r="J17" s="11" t="n"/>
    </row>
    <row r="18">
      <c r="A18" s="11" t="n"/>
      <c r="B18" s="11" t="n"/>
      <c r="C18" s="11" t="n"/>
      <c r="D18" s="11" t="n"/>
      <c r="E18" s="11" t="n"/>
      <c r="F18" s="5" t="n"/>
      <c r="G18" s="5">
        <f>IFERROR(F18*0.05,0)</f>
        <v/>
      </c>
      <c r="H18" s="11" t="n"/>
      <c r="I18" s="11">
        <f>IF(H18="","",TODAY()-H18)</f>
        <v/>
      </c>
      <c r="J18" s="11" t="n"/>
    </row>
    <row r="19">
      <c r="A19" s="11" t="n"/>
      <c r="B19" s="11" t="n"/>
      <c r="C19" s="11" t="n"/>
      <c r="D19" s="11" t="n"/>
      <c r="E19" s="11" t="n"/>
      <c r="F19" s="5" t="n"/>
      <c r="G19" s="5">
        <f>IFERROR(F19*0.05,0)</f>
        <v/>
      </c>
      <c r="H19" s="11" t="n"/>
      <c r="I19" s="11">
        <f>IF(H19="","",TODAY()-H19)</f>
        <v/>
      </c>
      <c r="J19" s="11" t="n"/>
    </row>
    <row r="20">
      <c r="A20" s="11" t="n"/>
      <c r="B20" s="11" t="n"/>
      <c r="C20" s="11" t="n"/>
      <c r="D20" s="11" t="n"/>
      <c r="E20" s="11" t="n"/>
      <c r="F20" s="5" t="n"/>
      <c r="G20" s="5">
        <f>IFERROR(F20*0.05,0)</f>
        <v/>
      </c>
      <c r="H20" s="11" t="n"/>
      <c r="I20" s="11">
        <f>IF(H20="","",TODAY()-H20)</f>
        <v/>
      </c>
      <c r="J20" s="11" t="n"/>
    </row>
    <row r="21">
      <c r="A21" s="11" t="n"/>
      <c r="B21" s="11" t="n"/>
      <c r="C21" s="11" t="n"/>
      <c r="D21" s="11" t="n"/>
      <c r="E21" s="11" t="n"/>
      <c r="F21" s="5" t="n"/>
      <c r="G21" s="5">
        <f>IFERROR(F21*0.05,0)</f>
        <v/>
      </c>
      <c r="H21" s="11" t="n"/>
      <c r="I21" s="11">
        <f>IF(H21="","",TODAY()-H21)</f>
        <v/>
      </c>
      <c r="J21" s="11" t="n"/>
    </row>
    <row r="22">
      <c r="A22" s="11" t="n"/>
      <c r="B22" s="11" t="n"/>
      <c r="C22" s="11" t="n"/>
      <c r="D22" s="11" t="n"/>
      <c r="E22" s="11" t="n"/>
      <c r="F22" s="5" t="n"/>
      <c r="G22" s="5">
        <f>IFERROR(F22*0.05,0)</f>
        <v/>
      </c>
      <c r="H22" s="11" t="n"/>
      <c r="I22" s="11">
        <f>IF(H22="","",TODAY()-H22)</f>
        <v/>
      </c>
      <c r="J22" s="11" t="n"/>
    </row>
    <row r="23">
      <c r="A23" s="11" t="n"/>
      <c r="B23" s="11" t="n"/>
      <c r="C23" s="11" t="n"/>
      <c r="D23" s="11" t="n"/>
      <c r="E23" s="11" t="n"/>
      <c r="F23" s="5" t="n"/>
      <c r="G23" s="5">
        <f>IFERROR(F23*0.05,0)</f>
        <v/>
      </c>
      <c r="H23" s="11" t="n"/>
      <c r="I23" s="11">
        <f>IF(H23="","",TODAY()-H23)</f>
        <v/>
      </c>
      <c r="J23" s="11" t="n"/>
    </row>
    <row r="24">
      <c r="A24" s="11" t="n"/>
      <c r="B24" s="11" t="n"/>
      <c r="C24" s="11" t="n"/>
      <c r="D24" s="11" t="n"/>
      <c r="E24" s="11" t="n"/>
      <c r="F24" s="5" t="n"/>
      <c r="G24" s="5">
        <f>IFERROR(F24*0.05,0)</f>
        <v/>
      </c>
      <c r="H24" s="11" t="n"/>
      <c r="I24" s="11">
        <f>IF(H24="","",TODAY()-H24)</f>
        <v/>
      </c>
      <c r="J24" s="11" t="n"/>
    </row>
    <row r="25">
      <c r="A25" s="11" t="n"/>
      <c r="B25" s="11" t="n"/>
      <c r="C25" s="11" t="n"/>
      <c r="D25" s="11" t="n"/>
      <c r="E25" s="11" t="n"/>
      <c r="F25" s="5" t="n"/>
      <c r="G25" s="5">
        <f>IFERROR(F25*0.05,0)</f>
        <v/>
      </c>
      <c r="H25" s="11" t="n"/>
      <c r="I25" s="11">
        <f>IF(H25="","",TODAY()-H25)</f>
        <v/>
      </c>
      <c r="J25" s="11" t="n"/>
    </row>
    <row r="26">
      <c r="A26" s="11" t="n"/>
      <c r="B26" s="11" t="n"/>
      <c r="C26" s="11" t="n"/>
      <c r="D26" s="11" t="n"/>
      <c r="E26" s="11" t="n"/>
      <c r="F26" s="5" t="n"/>
      <c r="G26" s="5">
        <f>IFERROR(F26*0.05,0)</f>
        <v/>
      </c>
      <c r="H26" s="11" t="n"/>
      <c r="I26" s="11">
        <f>IF(H26="","",TODAY()-H26)</f>
        <v/>
      </c>
      <c r="J26" s="11" t="n"/>
    </row>
    <row r="27">
      <c r="A27" s="11" t="n"/>
      <c r="B27" s="11" t="n"/>
      <c r="C27" s="11" t="n"/>
      <c r="D27" s="11" t="n"/>
      <c r="E27" s="11" t="n"/>
      <c r="F27" s="5" t="n"/>
      <c r="G27" s="5">
        <f>IFERROR(F27*0.05,0)</f>
        <v/>
      </c>
      <c r="H27" s="11" t="n"/>
      <c r="I27" s="11">
        <f>IF(H27="","",TODAY()-H27)</f>
        <v/>
      </c>
      <c r="J27" s="11" t="n"/>
    </row>
    <row r="28">
      <c r="A28" s="11" t="n"/>
      <c r="B28" s="11" t="n"/>
      <c r="C28" s="11" t="n"/>
      <c r="D28" s="11" t="n"/>
      <c r="E28" s="11" t="n"/>
      <c r="F28" s="5" t="n"/>
      <c r="G28" s="5">
        <f>IFERROR(F28*0.05,0)</f>
        <v/>
      </c>
      <c r="H28" s="11" t="n"/>
      <c r="I28" s="11">
        <f>IF(H28="","",TODAY()-H28)</f>
        <v/>
      </c>
      <c r="J28" s="11" t="n"/>
    </row>
    <row r="29">
      <c r="A29" s="11" t="n"/>
      <c r="B29" s="11" t="n"/>
      <c r="C29" s="11" t="n"/>
      <c r="D29" s="11" t="n"/>
      <c r="E29" s="11" t="n"/>
      <c r="F29" s="5" t="n"/>
      <c r="G29" s="5">
        <f>IFERROR(F29*0.05,0)</f>
        <v/>
      </c>
      <c r="H29" s="11" t="n"/>
      <c r="I29" s="11">
        <f>IF(H29="","",TODAY()-H29)</f>
        <v/>
      </c>
      <c r="J29" s="11" t="n"/>
    </row>
    <row r="30">
      <c r="A30" s="11" t="n"/>
      <c r="B30" s="11" t="n"/>
      <c r="C30" s="11" t="n"/>
      <c r="D30" s="11" t="n"/>
      <c r="E30" s="11" t="n"/>
      <c r="F30" s="5" t="n"/>
      <c r="G30" s="5">
        <f>IFERROR(F30*0.05,0)</f>
        <v/>
      </c>
      <c r="H30" s="11" t="n"/>
      <c r="I30" s="11">
        <f>IF(H30="","",TODAY()-H30)</f>
        <v/>
      </c>
      <c r="J30" s="11" t="n"/>
    </row>
    <row r="31">
      <c r="A31" s="11" t="n"/>
      <c r="B31" s="11" t="n"/>
      <c r="C31" s="11" t="n"/>
      <c r="D31" s="11" t="n"/>
      <c r="E31" s="11" t="n"/>
      <c r="F31" s="5" t="n"/>
      <c r="G31" s="5">
        <f>IFERROR(F31*0.05,0)</f>
        <v/>
      </c>
      <c r="H31" s="11" t="n"/>
      <c r="I31" s="11">
        <f>IF(H31="","",TODAY()-H31)</f>
        <v/>
      </c>
      <c r="J31" s="11" t="n"/>
    </row>
    <row r="32">
      <c r="A32" s="11" t="n"/>
      <c r="B32" s="11" t="n"/>
      <c r="C32" s="11" t="n"/>
      <c r="D32" s="11" t="n"/>
      <c r="E32" s="11" t="n"/>
      <c r="F32" s="5" t="n"/>
      <c r="G32" s="5">
        <f>IFERROR(F32*0.05,0)</f>
        <v/>
      </c>
      <c r="H32" s="11" t="n"/>
      <c r="I32" s="11">
        <f>IF(H32="","",TODAY()-H32)</f>
        <v/>
      </c>
      <c r="J32" s="11" t="n"/>
    </row>
    <row r="33">
      <c r="A33" s="11" t="n"/>
      <c r="B33" s="11" t="n"/>
      <c r="C33" s="11" t="n"/>
      <c r="D33" s="11" t="n"/>
      <c r="E33" s="11" t="n"/>
      <c r="F33" s="5" t="n"/>
      <c r="G33" s="5">
        <f>IFERROR(F33*0.05,0)</f>
        <v/>
      </c>
      <c r="H33" s="11" t="n"/>
      <c r="I33" s="11">
        <f>IF(H33="","",TODAY()-H33)</f>
        <v/>
      </c>
      <c r="J33" s="11" t="n"/>
    </row>
    <row r="34">
      <c r="A34" s="11" t="n"/>
      <c r="B34" s="11" t="n"/>
      <c r="C34" s="11" t="n"/>
      <c r="D34" s="11" t="n"/>
      <c r="E34" s="11" t="n"/>
      <c r="F34" s="5" t="n"/>
      <c r="G34" s="5">
        <f>IFERROR(F34*0.05,0)</f>
        <v/>
      </c>
      <c r="H34" s="11" t="n"/>
      <c r="I34" s="11">
        <f>IF(H34="","",TODAY()-H34)</f>
        <v/>
      </c>
      <c r="J34" s="11" t="n"/>
    </row>
    <row r="35">
      <c r="A35" s="11" t="n"/>
      <c r="B35" s="11" t="n"/>
      <c r="C35" s="11" t="n"/>
      <c r="D35" s="11" t="n"/>
      <c r="E35" s="11" t="n"/>
      <c r="F35" s="5" t="n"/>
      <c r="G35" s="5">
        <f>IFERROR(F35*0.05,0)</f>
        <v/>
      </c>
      <c r="H35" s="11" t="n"/>
      <c r="I35" s="11">
        <f>IF(H35="","",TODAY()-H35)</f>
        <v/>
      </c>
      <c r="J35" s="11" t="n"/>
    </row>
    <row r="36">
      <c r="A36" s="11" t="n"/>
      <c r="B36" s="11" t="n"/>
      <c r="C36" s="11" t="n"/>
      <c r="D36" s="11" t="n"/>
      <c r="E36" s="11" t="n"/>
      <c r="F36" s="5" t="n"/>
      <c r="G36" s="5">
        <f>IFERROR(F36*0.05,0)</f>
        <v/>
      </c>
      <c r="H36" s="11" t="n"/>
      <c r="I36" s="11">
        <f>IF(H36="","",TODAY()-H36)</f>
        <v/>
      </c>
      <c r="J36" s="11" t="n"/>
    </row>
    <row r="37">
      <c r="A37" s="11" t="n"/>
      <c r="B37" s="11" t="n"/>
      <c r="C37" s="11" t="n"/>
      <c r="D37" s="11" t="n"/>
      <c r="E37" s="11" t="n"/>
      <c r="F37" s="5" t="n"/>
      <c r="G37" s="5">
        <f>IFERROR(F37*0.05,0)</f>
        <v/>
      </c>
      <c r="H37" s="11" t="n"/>
      <c r="I37" s="11">
        <f>IF(H37="","",TODAY()-H37)</f>
        <v/>
      </c>
      <c r="J37" s="11" t="n"/>
    </row>
    <row r="38">
      <c r="A38" s="11" t="n"/>
      <c r="B38" s="11" t="n"/>
      <c r="C38" s="11" t="n"/>
      <c r="D38" s="11" t="n"/>
      <c r="E38" s="11" t="n"/>
      <c r="F38" s="5" t="n"/>
      <c r="G38" s="5">
        <f>IFERROR(F38*0.05,0)</f>
        <v/>
      </c>
      <c r="H38" s="11" t="n"/>
      <c r="I38" s="11">
        <f>IF(H38="","",TODAY()-H38)</f>
        <v/>
      </c>
      <c r="J38" s="11" t="n"/>
    </row>
  </sheetData>
  <conditionalFormatting sqref="I4:I38">
    <cfRule type="cellIs" priority="1" operator="greaterThan" dxfId="3">
      <formula>3</formula>
    </cfRule>
  </conditionalFormatting>
  <conditionalFormatting sqref="D4:D38">
    <cfRule type="expression" priority="2" dxfId="0">
      <formula>$D4="Venda"</formula>
    </cfRule>
    <cfRule type="expression" priority="3" dxfId="4">
      <formula>$D4="Perdido"</formula>
    </cfRule>
  </conditionalFormatting>
  <dataValidations count="2">
    <dataValidation sqref="B4 B5 B6 B7 B8 B9 B10 B11 B12 B13 B14 B15 B16 B17 B18 B19 B20 B21 B22 B23 B24 B25 B26 B27 B28 B29 B30 B31 B32 B33 B34 B35 B36 B37 B38" showDropDown="0" showInputMessage="0" showErrorMessage="0" allowBlank="1" type="list">
      <formula1>"Meta,Google,YouTube,TikTok,Indicação,Orgânico"</formula1>
    </dataValidation>
    <dataValidation sqref="D4 D5 D6 D7 D8 D9 D10 D11 D12 D13 D14 D15 D16 D17 D18 D19 D20 D21 D22 D23 D24 D25 D26 D27 D28 D29 D30 D31 D32 D33 D34 D35 D36 D37 D38" showDropDown="0" showInputMessage="0" showErrorMessage="0" allowBlank="1" type="list">
      <formula1>"Novo,Conversa iniciada,Qualificado,Visita agendada,Proposta,Venda,Perdido"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2026-06-06T19:00:49Z</dcterms:created>
  <dcterms:modified xsi:type="dcterms:W3CDTF">2026-06-06T19:00:49Z</dcterms:modified>
</cp:coreProperties>
</file>